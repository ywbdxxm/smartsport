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bd2bd7978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总览" sheetId="1" r:id="Rfa353552d7f74088"/>
    <x:sheet xmlns:r="http://schemas.openxmlformats.org/officeDocument/2006/relationships" name="IMU专项对比" sheetId="2" r:id="R8cd18e9b055b4c38"/>
    <x:sheet xmlns:r="http://schemas.openxmlformats.org/officeDocument/2006/relationships" name="模块横向对比" sheetId="3" r:id="R9c33b2dfb8d74d3e"/>
    <x:sheet xmlns:r="http://schemas.openxmlformats.org/officeDocument/2006/relationships" name="首轮采购BOM" sheetId="4" r:id="R588add489784428c"/>
    <x:sheet xmlns:r="http://schemas.openxmlformats.org/officeDocument/2006/relationships" name="接口与验证" sheetId="5" r:id="Rf7ffab74af114478"/>
    <x:sheet xmlns:r="http://schemas.openxmlformats.org/officeDocument/2006/relationships" name="来源说明" sheetId="6" r:id="R72f48af74a8c46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¥&quot;#,##0.00"/>
    <x:numFmt numFmtId="201" formatCode="¥#,##0.00"/>
    <x:numFmt numFmtId="202" formatCode="0"/>
    <x:numFmt numFmtId="203" formatCode="yyyy-mm-dd"/>
  </x:numFmts>
  <x:fonts count="15">
    <x:font>
      <x:sz val="11"/>
      <x:name val="Carlito"/>
    </x:font>
    <x:font>
      <x:b/>
      <x:sz val="20"/>
      <x:color rgb="FFFFFFFF"/>
      <x:name val="Microsoft YaHei"/>
    </x:font>
    <x:font>
      <x:sz val="10"/>
      <x:color rgb="FF115E59"/>
      <x:name val="Microsoft YaHei"/>
    </x:font>
    <x:font>
      <x:sz val="11"/>
      <x:color rgb="FF1F2933"/>
      <x:name val="Microsoft YaHei"/>
    </x:font>
    <x:font>
      <x:b/>
      <x:sz val="9"/>
      <x:color rgb="FF52606D"/>
      <x:name val="Microsoft YaHei"/>
    </x:font>
    <x:font>
      <x:b/>
      <x:sz val="15"/>
      <x:color rgb="FF1F2933"/>
      <x:name val="Microsoft YaHei"/>
    </x:font>
    <x:font>
      <x:b/>
      <x:sz val="11"/>
      <x:color rgb="FFFFFFFF"/>
      <x:name val="Microsoft YaHei"/>
    </x:font>
    <x:font>
      <x:b/>
      <x:sz val="9"/>
      <x:color rgb="FFFFFFFF"/>
      <x:name val="Microsoft YaHei"/>
    </x:font>
    <x:font>
      <x:sz val="9"/>
      <x:color rgb="FF52606D"/>
      <x:name val="Microsoft YaHei"/>
    </x:font>
    <x:font>
      <x:b/>
      <x:sz val="10"/>
      <x:color rgb="FFFFFFFF"/>
      <x:name val="Microsoft YaHei"/>
    </x:font>
    <x:font>
      <x:sz val="9"/>
      <x:color rgb="FF1F2933"/>
      <x:name val="Microsoft YaHei"/>
    </x:font>
    <x:font>
      <x:sz val="8"/>
      <x:color rgb="FF52606D"/>
      <x:name val="Microsoft YaHei"/>
    </x:font>
    <x:font>
      <x:sz val="8"/>
      <x:color rgb="FF2563EB"/>
      <x:name val="Microsoft YaHei"/>
    </x:font>
    <x:font>
      <x:b/>
      <x:sz val="11"/>
      <x:color rgb="FF115E59"/>
      <x:name val="Microsoft YaHei"/>
    </x:font>
    <x:font>
      <x:sz val="9"/>
      <x:color rgb="FF2563EB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DFF5F1"/>
      </x:patternFill>
    </x:fill>
    <x:fill>
      <x:patternFill patternType="solid">
        <x:fgColor rgb="FFFFF3D6"/>
      </x:patternFill>
    </x:fill>
    <x:fill>
      <x:patternFill patternType="solid">
        <x:fgColor rgb="FFE8F0FE"/>
      </x:patternFill>
    </x:fill>
    <x:fill>
      <x:patternFill patternType="solid">
        <x:fgColor rgb="FFEEF2F4"/>
      </x:patternFill>
    </x:fill>
    <x:fill>
      <x:patternFill patternType="solid">
        <x:fgColor rgb="FF0F766E"/>
      </x:patternFill>
    </x:fill>
    <x:fill>
      <x:patternFill patternType="solid">
        <x:fgColor rgb="FFF5F7F8"/>
      </x:patternFill>
    </x:fill>
  </x:fills>
  <x:borders count="11">
    <x:border/>
    <x:border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bottom style="medium">
        <x:color rgb="FF0F766E"/>
      </x:bottom>
    </x:border>
    <x:border>
      <x:top style="medium">
        <x:color rgb="FF0F766E"/>
      </x:top>
    </x:border>
  </x:borders>
  <x:cellStyleXfs count="1">
    <x:xf numFmtId="0" fontId="0" fillId="0" borderId="0"/>
  </x:cellStyleXfs>
  <x:cellXfs count="2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1" xfId="0" applyNumberFormat="1" applyFont="1" applyFill="1" applyBorder="1"/>
    <x:xf numFmtId="0" fontId="3" fillId="3" borderId="8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3" fillId="3" borderId="7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8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8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1" xfId="0" applyNumberFormat="1" applyFont="1" applyFill="1" applyBorder="1"/>
    <x:xf numFmtId="0" fontId="3" fillId="4" borderId="8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1" xfId="0" applyNumberFormat="1" applyFont="1" applyFill="1" applyBorder="1"/>
    <x:xf numFmtId="0" fontId="3" fillId="5" borderId="8" xfId="0" applyNumberFormat="1" applyFont="1" applyFill="1" applyBorder="1"/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horizontal="center"/>
    </x:xf>
    <x:xf numFmtId="0" fontId="3" fillId="5" borderId="5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0" fontId="3" fillId="5" borderId="6" xfId="0" applyNumberFormat="1" applyFont="1" applyFill="1" applyBorder="1" applyAlignment="1">
      <x:alignment horizontal="center"/>
    </x:xf>
    <x:xf numFmtId="0" fontId="3" fillId="5" borderId="7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3" fillId="5" borderId="8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3" fillId="5" borderId="5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6" xfId="0" applyNumberFormat="1" applyFont="1" applyFill="1" applyBorder="1" applyAlignment="1">
      <x:alignment horizontal="center" vertical="center"/>
    </x:xf>
    <x:xf numFmtId="0" fontId="3" fillId="5" borderId="7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0" fontId="3" fillId="6" borderId="1" xfId="0" applyNumberFormat="1" applyFont="1" applyFill="1" applyBorder="1"/>
    <x:xf numFmtId="0" fontId="3" fillId="6" borderId="8" xfId="0" applyNumberFormat="1" applyFont="1" applyFill="1" applyBorder="1"/>
    <x:xf numFmtId="0" fontId="3" fillId="6" borderId="2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/>
    </x:xf>
    <x:xf numFmtId="0" fontId="3" fillId="6" borderId="4" xfId="0" applyNumberFormat="1" applyFont="1" applyFill="1" applyBorder="1" applyAlignment="1">
      <x:alignment horizontal="center"/>
    </x:xf>
    <x:xf numFmtId="0" fontId="3" fillId="6" borderId="5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/>
    </x:xf>
    <x:xf numFmtId="0" fontId="3" fillId="6" borderId="6" xfId="0" applyNumberFormat="1" applyFont="1" applyFill="1" applyBorder="1" applyAlignment="1">
      <x:alignment horizontal="center"/>
    </x:xf>
    <x:xf numFmtId="0" fontId="3" fillId="6" borderId="7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/>
    </x:xf>
    <x:xf numFmtId="0" fontId="3" fillId="6" borderId="8" xfId="0" applyNumberFormat="1" applyFont="1" applyFill="1" applyBorder="1" applyAlignment="1">
      <x:alignment horizont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3" fillId="6" borderId="4" xfId="0" applyNumberFormat="1" applyFont="1" applyFill="1" applyBorder="1" applyAlignment="1">
      <x:alignment horizontal="center" vertical="center"/>
    </x:xf>
    <x:xf numFmtId="0" fontId="3" fillId="6" borderId="5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3" fillId="6" borderId="7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8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200" fontId="3" fillId="3" borderId="5" xfId="0" applyNumberFormat="1" applyFont="1" applyFill="1" applyBorder="1" applyAlignment="1">
      <x:alignment horizontal="center" vertical="center"/>
    </x:xf>
    <x:xf numFmtId="200" fontId="3" fillId="3" borderId="0" xfId="0" applyNumberFormat="1" applyFont="1" applyFill="1" applyBorder="1" applyAlignment="1">
      <x:alignment horizontal="center" vertical="center"/>
    </x:xf>
    <x:xf numFmtId="200" fontId="3" fillId="3" borderId="6" xfId="0" applyNumberFormat="1" applyFont="1" applyFill="1" applyBorder="1" applyAlignment="1">
      <x:alignment horizontal="center" vertical="center"/>
    </x:xf>
    <x:xf numFmtId="200" fontId="3" fillId="3" borderId="7" xfId="0" applyNumberFormat="1" applyFont="1" applyFill="1" applyBorder="1" applyAlignment="1">
      <x:alignment horizontal="center" vertical="center"/>
    </x:xf>
    <x:xf numFmtId="200" fontId="3" fillId="3" borderId="1" xfId="0" applyNumberFormat="1" applyFont="1" applyFill="1" applyBorder="1" applyAlignment="1">
      <x:alignment horizontal="center" vertical="center"/>
    </x:xf>
    <x:xf numFmtId="200" fontId="3" fillId="3" borderId="8" xfId="0" applyNumberFormat="1" applyFont="1" applyFill="1" applyBorder="1" applyAlignment="1">
      <x:alignment horizontal="center" vertical="center"/>
    </x:xf>
    <x:xf numFmtId="200" fontId="3" fillId="4" borderId="5" xfId="0" applyNumberFormat="1" applyFont="1" applyFill="1" applyBorder="1" applyAlignment="1">
      <x:alignment horizontal="center" vertical="center"/>
    </x:xf>
    <x:xf numFmtId="200" fontId="3" fillId="4" borderId="0" xfId="0" applyNumberFormat="1" applyFont="1" applyFill="1" applyBorder="1" applyAlignment="1">
      <x:alignment horizontal="center" vertical="center"/>
    </x:xf>
    <x:xf numFmtId="200" fontId="3" fillId="4" borderId="6" xfId="0" applyNumberFormat="1" applyFont="1" applyFill="1" applyBorder="1" applyAlignment="1">
      <x:alignment horizontal="center" vertical="center"/>
    </x:xf>
    <x:xf numFmtId="200" fontId="3" fillId="4" borderId="7" xfId="0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200" fontId="3" fillId="4" borderId="8" xfId="0" applyNumberFormat="1" applyFont="1" applyFill="1" applyBorder="1" applyAlignment="1">
      <x:alignment horizontal="center" vertical="center"/>
    </x:xf>
    <x:xf numFmtId="200" fontId="5" fillId="3" borderId="5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center" vertical="center"/>
    </x:xf>
    <x:xf numFmtId="200" fontId="5" fillId="3" borderId="6" xfId="0" applyNumberFormat="1" applyFont="1" applyFill="1" applyBorder="1" applyAlignment="1">
      <x:alignment horizontal="center" vertical="center"/>
    </x:xf>
    <x:xf numFmtId="200" fontId="5" fillId="4" borderId="5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center" vertical="center"/>
    </x:xf>
    <x:xf numFmtId="200" fontId="5" fillId="4" borderId="6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horizontal="center" vertical="center"/>
    </x:xf>
    <x:xf numFmtId="200" fontId="5" fillId="3" borderId="7" xfId="0" applyNumberFormat="1" applyFont="1" applyFill="1" applyBorder="1" applyAlignment="1">
      <x:alignment horizontal="center" vertical="center"/>
    </x:xf>
    <x:xf numFmtId="200" fontId="5" fillId="3" borderId="1" xfId="0" applyNumberFormat="1" applyFont="1" applyFill="1" applyBorder="1" applyAlignment="1">
      <x:alignment horizontal="center" vertical="center"/>
    </x:xf>
    <x:xf numFmtId="200" fontId="5" fillId="3" borderId="8" xfId="0" applyNumberFormat="1" applyFont="1" applyFill="1" applyBorder="1" applyAlignment="1">
      <x:alignment horizontal="center" vertical="center"/>
    </x:xf>
    <x:xf numFmtId="200" fontId="5" fillId="4" borderId="7" xfId="0" applyNumberFormat="1" applyFont="1" applyFill="1" applyBorder="1" applyAlignment="1">
      <x:alignment horizontal="center" vertical="center"/>
    </x:xf>
    <x:xf numFmtId="200" fontId="5" fillId="4" borderId="1" xfId="0" applyNumberFormat="1" applyFont="1" applyFill="1" applyBorder="1" applyAlignment="1">
      <x:alignment horizontal="center" vertical="center"/>
    </x:xf>
    <x:xf numFmtId="200" fontId="5" fillId="4" borderId="8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8" xfId="0" applyNumberFormat="1" applyFont="1" applyFill="1" applyBorder="1" applyAlignment="1">
      <x:alignment horizontal="center" vertical="center"/>
    </x:xf>
    <x:xf numFmtId="200" fontId="5" fillId="3" borderId="5" xfId="0" applyNumberFormat="1" applyFont="1" applyFill="1" applyBorder="1" applyAlignment="1">
      <x:alignment horizontal="center" vertical="center" wrapText="1"/>
    </x:xf>
    <x:xf numFmtId="200" fontId="5" fillId="3" borderId="0" xfId="0" applyNumberFormat="1" applyFont="1" applyFill="1" applyBorder="1" applyAlignment="1">
      <x:alignment horizontal="center" vertical="center" wrapText="1"/>
    </x:xf>
    <x:xf numFmtId="200" fontId="5" fillId="3" borderId="6" xfId="0" applyNumberFormat="1" applyFont="1" applyFill="1" applyBorder="1" applyAlignment="1">
      <x:alignment horizontal="center" vertical="center" wrapText="1"/>
    </x:xf>
    <x:xf numFmtId="200" fontId="5" fillId="4" borderId="5" xfId="0" applyNumberFormat="1" applyFont="1" applyFill="1" applyBorder="1" applyAlignment="1">
      <x:alignment horizontal="center" vertical="center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200" fontId="5" fillId="4" borderId="6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200" fontId="5" fillId="3" borderId="7" xfId="0" applyNumberFormat="1" applyFont="1" applyFill="1" applyBorder="1" applyAlignment="1">
      <x:alignment horizontal="center" vertical="center" wrapText="1"/>
    </x:xf>
    <x:xf numFmtId="200" fontId="5" fillId="3" borderId="1" xfId="0" applyNumberFormat="1" applyFont="1" applyFill="1" applyBorder="1" applyAlignment="1">
      <x:alignment horizontal="center" vertical="center" wrapText="1"/>
    </x:xf>
    <x:xf numFmtId="200" fontId="5" fillId="3" borderId="8" xfId="0" applyNumberFormat="1" applyFont="1" applyFill="1" applyBorder="1" applyAlignment="1">
      <x:alignment horizontal="center" vertical="center" wrapText="1"/>
    </x:xf>
    <x:xf numFmtId="200" fontId="5" fillId="4" borderId="7" xfId="0" applyNumberFormat="1" applyFont="1" applyFill="1" applyBorder="1" applyAlignment="1">
      <x:alignment horizontal="center" vertical="center" wrapText="1"/>
    </x:xf>
    <x:xf numFmtId="200" fontId="5" fillId="4" borderId="1" xfId="0" applyNumberFormat="1" applyFont="1" applyFill="1" applyBorder="1" applyAlignment="1">
      <x:alignment horizontal="center" vertical="center" wrapText="1"/>
    </x:xf>
    <x:xf numFmtId="200" fontId="5" fillId="4" borderId="8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6" fillId="7" borderId="0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horizont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/>
    <x:xf numFmtId="0" fontId="9" fillId="2" borderId="9" xfId="0" applyNumberFormat="1" applyFont="1" applyFill="1" applyBorder="1"/>
    <x:xf numFmtId="0" fontId="9" fillId="2" borderId="9" xfId="0" applyNumberFormat="1" applyFont="1" applyFill="1" applyBorder="1" applyAlignment="1">
      <x:alignment wrapText="1"/>
    </x:xf>
    <x:xf numFmtId="0" fontId="9" fillId="2" borderId="9" xfId="0" applyNumberFormat="1" applyFont="1" applyFill="1" applyBorder="1" applyAlignment="1">
      <x:alignment horizontal="center" wrapText="1"/>
    </x:xf>
    <x:xf numFmtId="0" fontId="9" fillId="2" borderId="9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0"/>
    </x:xf>
    <x:xf numFmtId="0" fontId="12" fillId="0" borderId="1" xfId="0" applyNumberFormat="1" applyFont="1" applyFill="1" applyBorder="1" applyAlignment="1">
      <x:alignment vertical="center" wrapText="0"/>
    </x:xf>
    <x:xf numFmtId="0" fontId="13" fillId="3" borderId="0" xfId="0" applyNumberFormat="1" applyFont="1" applyFill="1" applyBorder="1"/>
    <x:xf numFmtId="0" fontId="13" fillId="3" borderId="10" xfId="0" applyNumberFormat="1" applyFont="1" applyFill="1" applyBorder="1"/>
    <x:xf numFmtId="0" fontId="13" fillId="3" borderId="10" xfId="0" applyNumberFormat="1" applyFont="1" applyFill="1" applyBorder="1" applyAlignment="1">
      <x:alignment vertical="center"/>
    </x:xf>
    <x:xf numFmtId="200" fontId="13" fillId="3" borderId="1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 wrapText="1"/>
    </x:xf>
    <x:xf numFmtId="202" fontId="10" fillId="0" borderId="1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1" xfId="0" applyNumberFormat="1" applyFont="1" applyFill="1" applyBorder="1" applyAlignment="1">
      <x:alignment vertical="center" wrapText="1"/>
    </x:xf>
    <x:xf numFmtId="203" fontId="10" fillId="0" borderId="0" xfId="0" applyNumberFormat="1" applyFont="1" applyFill="1" applyBorder="1" applyAlignment="1">
      <x:alignment vertical="center" wrapText="1"/>
    </x:xf>
    <x:xf numFmtId="203" fontId="1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7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D97706"/>
      </x:font>
      <x:fill>
        <x:patternFill patternType="solid">
          <x:bgColor rgb="FFFFF3D6"/>
        </x:patternFill>
      </x:fill>
    </x:dxf>
    <x:dxf>
      <x:font>
        <x:b/>
        <x:color rgb="FF2563EB"/>
      </x:font>
      <x:fill>
        <x:patternFill patternType="solid">
          <x:bgColor rgb="FFE8F0FE"/>
        </x:patternFill>
      </x:fill>
    </x:dxf>
    <x:dxf>
      <x:font>
        <x:b/>
        <x:color rgb="FF52606D"/>
      </x:font>
      <x:fill>
        <x:patternFill patternType="solid">
          <x:bgColor rgb="FFEEF2F4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D97706"/>
      </x:font>
      <x:fill>
        <x:patternFill patternType="solid">
          <x:bgColor rgb="FFFFF3D6"/>
        </x:patternFill>
      </x:fill>
    </x:dxf>
    <x:dxf>
      <x:font>
        <x:b/>
        <x:color rgb="FF2563EB"/>
      </x:font>
      <x:fill>
        <x:patternFill patternType="solid">
          <x:bgColor rgb="FFE8F0FE"/>
        </x:patternFill>
      </x:fill>
    </x:dxf>
    <x:dxf>
      <x:font>
        <x:b/>
        <x:color rgb="FF52606D"/>
      </x:font>
      <x:fill>
        <x:patternFill patternType="solid">
          <x:bgColor rgb="FFEEF2F4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D97706"/>
      </x:font>
      <x:fill>
        <x:patternFill patternType="solid">
          <x:bgColor rgb="FFFFF3D6"/>
        </x:patternFill>
      </x:fill>
    </x:dxf>
    <x:dxf>
      <x:font>
        <x:b/>
        <x:color rgb="FF2563EB"/>
      </x:font>
      <x:fill>
        <x:patternFill patternType="solid">
          <x:bgColor rgb="FFE8F0FE"/>
        </x:patternFill>
      </x:fill>
    </x:dxf>
    <x:dxf>
      <x:font>
        <x:b/>
        <x:color rgb="FF52606D"/>
      </x:font>
      <x:fill>
        <x:patternFill patternType="solid">
          <x:bgColor rgb="FFEEF2F4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color rgb="FF52606D"/>
      </x:font>
      <x:fill>
        <x:patternFill patternType="solid">
          <x:bgColor rgb="FFEEF2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4cffd05374681" /><Relationship Type="http://schemas.openxmlformats.org/officeDocument/2006/relationships/theme" Target="/xl/theme/theme1.xml" Id="R55f84a481f7649a3" /><Relationship Type="http://schemas.openxmlformats.org/officeDocument/2006/relationships/sharedStrings" Target="/xl/sharedStrings.xml" Id="R3754758813d441f9" /><Relationship Type="http://schemas.openxmlformats.org/officeDocument/2006/relationships/worksheet" Target="/xl/worksheets/sheet1.xml" Id="Rfa353552d7f74088" /><Relationship Type="http://schemas.openxmlformats.org/officeDocument/2006/relationships/worksheet" Target="/xl/worksheets/sheet2.xml" Id="R8cd18e9b055b4c38" /><Relationship Type="http://schemas.openxmlformats.org/officeDocument/2006/relationships/worksheet" Target="/xl/worksheets/sheet3.xml" Id="R9c33b2dfb8d74d3e" /><Relationship Type="http://schemas.openxmlformats.org/officeDocument/2006/relationships/worksheet" Target="/xl/worksheets/sheet4.xml" Id="R588add489784428c" /><Relationship Type="http://schemas.openxmlformats.org/officeDocument/2006/relationships/worksheet" Target="/xl/worksheets/sheet5.xml" Id="Rf7ffab74af114478" /><Relationship Type="http://schemas.openxmlformats.org/officeDocument/2006/relationships/worksheet" Target="/xl/worksheets/sheet6.xml" Id="R72f48af74a8c46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29e1cdc720e43d8" /><Relationship Type="http://schemas.openxmlformats.org/officeDocument/2006/relationships/image" Target="/xl/media/image2.png" Id="Rca008301ec8f481b" /><Relationship Type="http://schemas.openxmlformats.org/officeDocument/2006/relationships/image" Target="/xl/media/image3.png" Id="R83302ea85c4447f7" /><Relationship Type="http://schemas.openxmlformats.org/officeDocument/2006/relationships/image" Target="/xl/media/image4.png" Id="Rb328bbd571b84bc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5.png" Id="R9e18c22ae5334b04" /><Relationship Type="http://schemas.openxmlformats.org/officeDocument/2006/relationships/image" Target="/xl/media/image6.png" Id="Ra0b3de34ba444772" /><Relationship Type="http://schemas.openxmlformats.org/officeDocument/2006/relationships/image" Target="/xl/media/image7.png" Id="R1065b493f2074f68" /><Relationship Type="http://schemas.openxmlformats.org/officeDocument/2006/relationships/image" Target="/xl/media/image8.png" Id="R4871bb2751944450" /><Relationship Type="http://schemas.openxmlformats.org/officeDocument/2006/relationships/image" Target="/xl/media/image9.png" Id="Rb1a0819e2c074b2d" /><Relationship Type="http://schemas.openxmlformats.org/officeDocument/2006/relationships/image" Target="/xl/media/image10.png" Id="Rc3726ca6d99a4b90" /><Relationship Type="http://schemas.openxmlformats.org/officeDocument/2006/relationships/image" Target="/xl/media/image11.png" Id="R75cdd1bc5a344fbd" /><Relationship Type="http://schemas.openxmlformats.org/officeDocument/2006/relationships/image" Target="/xl/media/image12.png" Id="Ra5b873cb170b4c5f" /><Relationship Type="http://schemas.openxmlformats.org/officeDocument/2006/relationships/image" Target="/xl/media/image13.png" Id="R150d5bcebd324abb" /><Relationship Type="http://schemas.openxmlformats.org/officeDocument/2006/relationships/image" Target="/xl/media/image14.png" Id="R50537b3bad134765" /><Relationship Type="http://schemas.openxmlformats.org/officeDocument/2006/relationships/image" Target="/xl/media/image15.png" Id="R054fbbe4b1964a4b" /><Relationship Type="http://schemas.openxmlformats.org/officeDocument/2006/relationships/image" Target="/xl/media/image16.png" Id="R08755166a4f147f8" /><Relationship Type="http://schemas.openxmlformats.org/officeDocument/2006/relationships/image" Target="/xl/media/image17.png" Id="R5aeecc5a477342ce" /></Relationships>
</file>

<file path=xl/drawings/drawing1.xml><?xml version="1.0" encoding="utf-8"?>
<xdr:wsDr xmlns:xdr="http://schemas.openxmlformats.org/drawingml/2006/spreadsheetDrawing">
  <xdr:oneCellAnchor>
    <xdr:from>
      <xdr:col>0</xdr:col>
      <xdr:colOff>47625</xdr:colOff>
      <xdr:row>4</xdr:row>
      <xdr:rowOff>47625</xdr:rowOff>
    </xdr:from>
    <xdr:ext cx="990600" cy="704850"/>
    <xdr:pic>
      <xdr:nvPicPr>
        <xdr:cNvPr id="1" name="fc25ffca-5b7a-4f53-b9bb-e323d1a46f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9e1cdc720e43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47625</xdr:colOff>
      <xdr:row>5</xdr:row>
      <xdr:rowOff>47625</xdr:rowOff>
    </xdr:from>
    <xdr:ext cx="990600" cy="704850"/>
    <xdr:pic>
      <xdr:nvPicPr>
        <xdr:cNvPr id="2" name="e94c99d5-0f8f-45a6-89e7-42c2a710db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008301ec8f48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47625</xdr:colOff>
      <xdr:row>6</xdr:row>
      <xdr:rowOff>47625</xdr:rowOff>
    </xdr:from>
    <xdr:ext cx="990600" cy="704850"/>
    <xdr:pic>
      <xdr:nvPicPr>
        <xdr:cNvPr id="3" name="61cb9bad-c486-44d2-9531-6ff1fac019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302ea85c4447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47625</xdr:colOff>
      <xdr:row>11</xdr:row>
      <xdr:rowOff>47625</xdr:rowOff>
    </xdr:from>
    <xdr:ext cx="990600" cy="704850"/>
    <xdr:pic>
      <xdr:nvPicPr>
        <xdr:cNvPr id="4" name="c0428d2b-c707-4150-8fc1-6beaa05221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28bbd571b84b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47625</xdr:colOff>
      <xdr:row>4</xdr:row>
      <xdr:rowOff>47625</xdr:rowOff>
    </xdr:from>
    <xdr:ext cx="990600" cy="704850"/>
    <xdr:pic>
      <xdr:nvPicPr>
        <xdr:cNvPr id="1" name="51b3fe8c-dd67-4f31-bad5-5a7120bf69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8c22ae5334b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47625</xdr:colOff>
      <xdr:row>7</xdr:row>
      <xdr:rowOff>47625</xdr:rowOff>
    </xdr:from>
    <xdr:ext cx="990600" cy="704850"/>
    <xdr:pic>
      <xdr:nvPicPr>
        <xdr:cNvPr id="2" name="d313517f-46cf-4a76-b5a8-239cd7b419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b3de34ba4447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47625</xdr:colOff>
      <xdr:row>8</xdr:row>
      <xdr:rowOff>47625</xdr:rowOff>
    </xdr:from>
    <xdr:ext cx="990600" cy="704850"/>
    <xdr:pic>
      <xdr:nvPicPr>
        <xdr:cNvPr id="3" name="381fa0e4-de6f-4ede-8045-135f2fe46c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65b493f2074f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47625</xdr:colOff>
      <xdr:row>9</xdr:row>
      <xdr:rowOff>47625</xdr:rowOff>
    </xdr:from>
    <xdr:ext cx="990600" cy="704850"/>
    <xdr:pic>
      <xdr:nvPicPr>
        <xdr:cNvPr id="4" name="5767c700-d29e-4c0d-8e55-e7c1ec45b7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71bb27519444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47625</xdr:colOff>
      <xdr:row>10</xdr:row>
      <xdr:rowOff>47625</xdr:rowOff>
    </xdr:from>
    <xdr:ext cx="990600" cy="704850"/>
    <xdr:pic>
      <xdr:nvPicPr>
        <xdr:cNvPr id="5" name="2738179a-d2fa-44d2-bd75-76eed1db29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a0819e2c074b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47625</xdr:colOff>
      <xdr:row>11</xdr:row>
      <xdr:rowOff>47625</xdr:rowOff>
    </xdr:from>
    <xdr:ext cx="990600" cy="704850"/>
    <xdr:pic>
      <xdr:nvPicPr>
        <xdr:cNvPr id="6" name="bfb1451d-b7a4-486c-9558-9ec24e1bf6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726ca6d99a4b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47625</xdr:colOff>
      <xdr:row>12</xdr:row>
      <xdr:rowOff>47625</xdr:rowOff>
    </xdr:from>
    <xdr:ext cx="990600" cy="704850"/>
    <xdr:pic>
      <xdr:nvPicPr>
        <xdr:cNvPr id="7" name="b7e90922-2f9d-4dab-8732-35702caddf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cdd1bc5a344f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47625</xdr:colOff>
      <xdr:row>13</xdr:row>
      <xdr:rowOff>47625</xdr:rowOff>
    </xdr:from>
    <xdr:ext cx="990600" cy="704850"/>
    <xdr:pic>
      <xdr:nvPicPr>
        <xdr:cNvPr id="8" name="e90e6032-302a-491c-bf3a-675ccf45fa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b873cb170b4c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47625</xdr:colOff>
      <xdr:row>14</xdr:row>
      <xdr:rowOff>47625</xdr:rowOff>
    </xdr:from>
    <xdr:ext cx="990600" cy="704850"/>
    <xdr:pic>
      <xdr:nvPicPr>
        <xdr:cNvPr id="9" name="46174102-0e7e-4b32-90b1-bf8c9645b4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0d5bcebd324a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47625</xdr:colOff>
      <xdr:row>15</xdr:row>
      <xdr:rowOff>47625</xdr:rowOff>
    </xdr:from>
    <xdr:ext cx="990600" cy="704850"/>
    <xdr:pic>
      <xdr:nvPicPr>
        <xdr:cNvPr id="10" name="6d51f512-3c66-4ec7-81e1-28ae78feea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537b3bad1347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47625</xdr:colOff>
      <xdr:row>29</xdr:row>
      <xdr:rowOff>47625</xdr:rowOff>
    </xdr:from>
    <xdr:ext cx="990600" cy="704850"/>
    <xdr:pic>
      <xdr:nvPicPr>
        <xdr:cNvPr id="11" name="6e0bb4bd-8c1e-4511-8e1b-f13f509a79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4fbbe4b1964a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47625</xdr:colOff>
      <xdr:row>30</xdr:row>
      <xdr:rowOff>47625</xdr:rowOff>
    </xdr:from>
    <xdr:ext cx="990600" cy="704850"/>
    <xdr:pic>
      <xdr:nvPicPr>
        <xdr:cNvPr id="12" name="f18a1cef-0fbf-444f-bb76-2eae3baa1e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755166a4f147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47625</xdr:colOff>
      <xdr:row>31</xdr:row>
      <xdr:rowOff>47625</xdr:rowOff>
    </xdr:from>
    <xdr:ext cx="990600" cy="704850"/>
    <xdr:pic>
      <xdr:nvPicPr>
        <xdr:cNvPr id="13" name="e1e45d22-1150-4a74-9431-28bb184f70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eecc5a477342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ImuComparisonTable" displayName="ImuComparisonTable" ref="A4:O14" headerRowCount="1" totalsRowCount="0" totalsRowShown="0">
  <x:tableColumns count="15">
    <x:tableColumn id="1" name="图片"/>
    <x:tableColumn id="2" name="型号"/>
    <x:tableColumn id="3" name="模块类型"/>
    <x:tableColumn id="4" name="轴数"/>
    <x:tableColumn id="5" name="加速度量程"/>
    <x:tableColumn id="6" name="陀螺量程"/>
    <x:tableColumn id="7" name="输出/ODR"/>
    <x:tableColumn id="8" name="原始数据与时间控制"/>
    <x:tableColumn id="9" name="接口"/>
    <x:tableColumn id="10" name="算法与生态"/>
    <x:tableColumn id="11" name="主要优势"/>
    <x:tableColumn id="12" name="限制/风险"/>
    <x:tableColumn id="13" name="淘宝核对价"/>
    <x:tableColumn id="14" name="商品链接"/>
    <x:tableColumn id="15" name="建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ComparisonTable" displayName="ModuleComparisonTable" ref="A4:N32" headerRowCount="1" totalsRowCount="0" totalsRowShown="0">
  <x:tableColumns count="14">
    <x:tableColumn id="1" name="图片"/>
    <x:tableColumn id="2" name="类别"/>
    <x:tableColumn id="3" name="阶段"/>
    <x:tableColumn id="4" name="型号 / 商品"/>
    <x:tableColumn id="5" name="形态"/>
    <x:tableColumn id="6" name="接口"/>
    <x:tableColumn id="7" name="关键参数"/>
    <x:tableColumn id="8" name="淘宝核对价"/>
    <x:tableColumn id="9" name="商品链接"/>
    <x:tableColumn id="10" name="主要优势"/>
    <x:tableColumn id="11" name="风险 / 限制"/>
    <x:tableColumn id="12" name="适配结论"/>
    <x:tableColumn id="13" name="证据置信"/>
    <x:tableColumn id="14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curementBomTable" displayName="ProcurementBomTable" ref="A4:J21" headerRowCount="1" totalsRowCount="0" totalsRowShown="0">
  <x:tableColumns count="10">
    <x:tableColumn id="1" name="阶段"/>
    <x:tableColumn id="2" name="类别"/>
    <x:tableColumn id="3" name="型号 / 物料"/>
    <x:tableColumn id="4" name="数量"/>
    <x:tableColumn id="5" name="单价"/>
    <x:tableColumn id="6" name="计入预算"/>
    <x:tableColumn id="7" name="小计"/>
    <x:tableColumn id="8" name="计入金额"/>
    <x:tableColumn id="9" name="商品链接"/>
    <x:tableColumn id="10" name="采购与验收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4:H42" headerRowCount="1" totalsRowCount="0" totalsRowShown="0">
  <x:tableColumns count="8">
    <x:tableColumn id="1" name="类别"/>
    <x:tableColumn id="2" name="对象"/>
    <x:tableColumn id="3" name="来源类型"/>
    <x:tableColumn id="4" name="原始 URL"/>
    <x:tableColumn id="5" name="核对日期"/>
    <x:tableColumn id="6" name="用于支持的事实"/>
    <x:tableColumn id="7" name="置信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e919706f5a84b2f" /><Relationship Type="http://schemas.openxmlformats.org/officeDocument/2006/relationships/table" Target="/xl/tables/table1.xml" Id="R25f3008c600748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cbe50a06ec14b97" /><Relationship Type="http://schemas.openxmlformats.org/officeDocument/2006/relationships/table" Target="/xl/tables/table2.xml" Id="Ra6d2a07a956644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066a46725948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449ab6388af49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23" hidden="0" customWidth="1"/>
    <x:col min="4" max="4" width="21" hidden="0" customWidth="1"/>
    <x:col min="5" max="5" width="13" hidden="0" customWidth="1"/>
    <x:col min="6" max="6" width="11" hidden="0" customWidth="1"/>
    <x:col min="7" max="7" width="10" hidden="0" customWidth="1"/>
    <x:col min="8" max="8" width="28" hidden="0" customWidth="1"/>
    <x:col min="9" max="9" width="28" hidden="0" customWidth="1"/>
    <x:col min="10" max="10" width="26" hidden="0" customWidth="1"/>
    <x:col min="11" max="11" width="22" hidden="0" customWidth="1"/>
    <x:col min="12" max="12" width="10" hidden="0" customWidth="1"/>
  </x:cols>
  <x:sheetData>
    <x:row r="1" ht="36" customHeight="1">
      <x:c r="A1" s="4" t="str">
        <x:v>智能足球背心 · 模块选型与首轮采购</x:v>
      </x:c>
      <x:c r="B1" s="4" t="str">
        <x:v>智能足球背心 · 模块选型与首轮采购</x:v>
      </x:c>
      <x:c r="C1" s="4" t="str">
        <x:v>智能足球背心 · 模块选型与首轮采购</x:v>
      </x:c>
      <x:c r="D1" s="4" t="str">
        <x:v>智能足球背心 · 模块选型与首轮采购</x:v>
      </x:c>
      <x:c r="E1" s="4" t="str">
        <x:v>智能足球背心 · 模块选型与首轮采购</x:v>
      </x:c>
      <x:c r="F1" s="4" t="str">
        <x:v>智能足球背心 · 模块选型与首轮采购</x:v>
      </x:c>
      <x:c r="G1" s="4" t="str">
        <x:v>智能足球背心 · 模块选型与首轮采购</x:v>
      </x:c>
      <x:c r="H1" s="4" t="str">
        <x:v>智能足球背心 · 模块选型与首轮采购</x:v>
      </x:c>
      <x:c r="I1" s="4" t="str">
        <x:v>智能足球背心 · 模块选型与首轮采购</x:v>
      </x:c>
      <x:c r="J1" s="4" t="str">
        <x:v>智能足球背心 · 模块选型与首轮采购</x:v>
      </x:c>
      <x:c r="K1" s="4" t="str">
        <x:v>智能足球背心 · 模块选型与首轮采购</x:v>
      </x:c>
      <x:c r="L1" s="4" t="str">
        <x:v>智能足球背心 · 模块选型与首轮采购</x:v>
      </x:c>
    </x:row>
    <x:row r="2" ht="36" customHeight="1">
      <x:c r="A2" s="4" t="str">
        <x:v>智能足球背心 · 模块选型与首轮采购</x:v>
      </x:c>
      <x:c r="B2" s="4" t="str">
        <x:v>智能足球背心 · 模块选型与首轮采购</x:v>
      </x:c>
      <x:c r="C2" s="4" t="str">
        <x:v>智能足球背心 · 模块选型与首轮采购</x:v>
      </x:c>
      <x:c r="D2" s="4" t="str">
        <x:v>智能足球背心 · 模块选型与首轮采购</x:v>
      </x:c>
      <x:c r="E2" s="4" t="str">
        <x:v>智能足球背心 · 模块选型与首轮采购</x:v>
      </x:c>
      <x:c r="F2" s="4" t="str">
        <x:v>智能足球背心 · 模块选型与首轮采购</x:v>
      </x:c>
      <x:c r="G2" s="4" t="str">
        <x:v>智能足球背心 · 模块选型与首轮采购</x:v>
      </x:c>
      <x:c r="H2" s="4" t="str">
        <x:v>智能足球背心 · 模块选型与首轮采购</x:v>
      </x:c>
      <x:c r="I2" s="4" t="str">
        <x:v>智能足球背心 · 模块选型与首轮采购</x:v>
      </x:c>
      <x:c r="J2" s="4" t="str">
        <x:v>智能足球背心 · 模块选型与首轮采购</x:v>
      </x:c>
      <x:c r="K2" s="4" t="str">
        <x:v>智能足球背心 · 模块选型与首轮采购</x:v>
      </x:c>
      <x:c r="L2" s="4" t="str">
        <x:v>智能足球背心 · 模块选型与首轮采购</x:v>
      </x:c>
    </x:row>
    <x:row r="3" ht="25.5" customHeight="1">
      <x:c r="A3" s="10" t="str">
        <x:v>目标：先验证采集、同步、存储和赛后上传闭环；价格为 2026-08-30 淘宝页面核对价，实际成交价及 SKU 以购买时为准。</x:v>
      </x:c>
      <x:c r="B3" s="10" t="str">
        <x:v>目标：先验证采集、同步、存储和赛后上传闭环；价格为 2026-08-30 淘宝页面核对价，实际成交价及 SKU 以购买时为准。</x:v>
      </x:c>
      <x:c r="C3" s="10" t="str">
        <x:v>目标：先验证采集、同步、存储和赛后上传闭环；价格为 2026-08-30 淘宝页面核对价，实际成交价及 SKU 以购买时为准。</x:v>
      </x:c>
      <x:c r="D3" s="10" t="str">
        <x:v>目标：先验证采集、同步、存储和赛后上传闭环；价格为 2026-08-30 淘宝页面核对价，实际成交价及 SKU 以购买时为准。</x:v>
      </x:c>
      <x:c r="E3" s="10" t="str">
        <x:v>目标：先验证采集、同步、存储和赛后上传闭环；价格为 2026-08-30 淘宝页面核对价，实际成交价及 SKU 以购买时为准。</x:v>
      </x:c>
      <x:c r="F3" s="10" t="str">
        <x:v>目标：先验证采集、同步、存储和赛后上传闭环；价格为 2026-08-30 淘宝页面核对价，实际成交价及 SKU 以购买时为准。</x:v>
      </x:c>
      <x:c r="G3" s="10" t="str">
        <x:v>目标：先验证采集、同步、存储和赛后上传闭环；价格为 2026-08-30 淘宝页面核对价，实际成交价及 SKU 以购买时为准。</x:v>
      </x:c>
      <x:c r="H3" s="10" t="str">
        <x:v>目标：先验证采集、同步、存储和赛后上传闭环；价格为 2026-08-30 淘宝页面核对价，实际成交价及 SKU 以购买时为准。</x:v>
      </x:c>
      <x:c r="I3" s="10" t="str">
        <x:v>目标：先验证采集、同步、存储和赛后上传闭环；价格为 2026-08-30 淘宝页面核对价，实际成交价及 SKU 以购买时为准。</x:v>
      </x:c>
      <x:c r="J3" s="10" t="str">
        <x:v>目标：先验证采集、同步、存储和赛后上传闭环；价格为 2026-08-30 淘宝页面核对价，实际成交价及 SKU 以购买时为准。</x:v>
      </x:c>
      <x:c r="K3" s="10" t="str">
        <x:v>目标：先验证采集、同步、存储和赛后上传闭环；价格为 2026-08-30 淘宝页面核对价，实际成交价及 SKU 以购买时为准。</x:v>
      </x:c>
      <x:c r="L3" s="10" t="str">
        <x:v>目标：先验证采集、同步、存储和赛后上传闭环；价格为 2026-08-30 淘宝页面核对价，实际成交价及 SKU 以购买时为准。</x:v>
      </x:c>
    </x:row>
    <x:row r="5">
      <x:c r="A5" s="122" t="str">
        <x:v>两套原型 + 对照件预算</x:v>
      </x:c>
      <x:c r="B5" s="123"/>
      <x:c r="C5" s="124"/>
      <x:c r="D5" s="125" t="str">
        <x:v>V0 单套基础物料</x:v>
      </x:c>
      <x:c r="E5" s="126"/>
      <x:c r="F5" s="127"/>
      <x:c r="G5" s="128" t="str">
        <x:v>主数据通道</x:v>
      </x:c>
      <x:c r="H5" s="129"/>
      <x:c r="I5" s="130"/>
      <x:c r="J5" s="131" t="str">
        <x:v>上传策略</x:v>
      </x:c>
      <x:c r="K5" s="132"/>
      <x:c r="L5" s="133"/>
    </x:row>
    <x:row r="6">
      <x:c r="A6" s="170" t="n">
        <x:f>'首轮采购BOM'!H22</x:f>
        <x:v>1250.4400000000003</x:v>
      </x:c>
      <x:c r="B6" s="171"/>
      <x:c r="C6" s="172"/>
      <x:c r="D6" s="173" t="n">
        <x:f>SUM('首轮采购BOM'!H5:H12)/2</x:f>
        <x:v>455.7700000000001</x:v>
      </x:c>
      <x:c r="E6" s="174"/>
      <x:c r="F6" s="175"/>
      <x:c r="G6" s="176" t="str">
        <x:v>IMU + GNSS + 心率</x:v>
      </x:c>
      <x:c r="H6" s="177"/>
      <x:c r="I6" s="178"/>
      <x:c r="J6" s="179" t="str">
        <x:v>本地记录 → 赛后 Wi-Fi</x:v>
      </x:c>
      <x:c r="K6" s="180"/>
      <x:c r="L6" s="181"/>
    </x:row>
    <x:row r="7">
      <x:c r="A7" s="182"/>
      <x:c r="B7" s="183"/>
      <x:c r="C7" s="184"/>
      <x:c r="D7" s="185"/>
      <x:c r="E7" s="186"/>
      <x:c r="F7" s="187"/>
      <x:c r="G7" s="188"/>
      <x:c r="H7" s="189"/>
      <x:c r="I7" s="190"/>
      <x:c r="J7" s="191"/>
      <x:c r="K7" s="192"/>
      <x:c r="L7" s="193"/>
    </x:row>
    <x:row r="9" ht="21" customHeight="1">
      <x:c r="A9" s="197" t="str">
        <x:v>V0 推荐架构</x:v>
      </x:c>
      <x:c r="B9" s="197" t="str">
        <x:v>V0 推荐架构</x:v>
      </x:c>
      <x:c r="C9" s="197" t="str">
        <x:v>V0 推荐架构</x:v>
      </x:c>
      <x:c r="D9" s="197" t="str">
        <x:v>V0 推荐架构</x:v>
      </x:c>
      <x:c r="E9" s="197" t="str">
        <x:v>V0 推荐架构</x:v>
      </x:c>
      <x:c r="F9" s="197" t="str">
        <x:v>V0 推荐架构</x:v>
      </x:c>
      <x:c r="G9" s="197" t="str">
        <x:v>V0 推荐架构</x:v>
      </x:c>
      <x:c r="H9" s="197" t="str">
        <x:v>V0 推荐架构</x:v>
      </x:c>
      <x:c r="I9" s="197" t="str">
        <x:v>V0 推荐架构</x:v>
      </x:c>
      <x:c r="J9" s="197" t="str">
        <x:v>V0 推荐架构</x:v>
      </x:c>
      <x:c r="K9" s="197" t="str">
        <x:v>V0 推荐架构</x:v>
      </x:c>
      <x:c r="L9" s="197" t="str">
        <x:v>V0 推荐架构</x:v>
      </x:c>
    </x:row>
    <x:row r="10" ht="36" customHeight="1">
      <x:c r="A10" s="201" t="str">
        <x:v>传感器层</x:v>
      </x:c>
      <x:c r="B10" s="201" t="str">
        <x:v>IMU 400 Hz</x:v>
      </x:c>
      <x:c r="C10" s="201" t="str">
        <x:v>GNSS 10 Hz + 1PPS</x:v>
      </x:c>
      <x:c r="D10" s="201" t="str">
        <x:v>心率 BLE HRS</x:v>
      </x:c>
      <x:c r="E10" s="201" t="str">
        <x:v>采集与时钟</x:v>
      </x:c>
      <x:c r="F10" s="201" t="str">
        <x:v>ESP32-S3 单调时钟</x:v>
      </x:c>
      <x:c r="G10" s="201" t="str">
        <x:v>缓存</x:v>
      </x:c>
      <x:c r="H10" s="201" t="str">
        <x:v>microSD 本地落盘</x:v>
      </x:c>
      <x:c r="I10" s="201" t="str">
        <x:v>上传</x:v>
      </x:c>
      <x:c r="J10" s="201" t="str">
        <x:v>赛后 Wi-Fi 分片上传</x:v>
      </x:c>
      <x:c r="K10" s="201" t="str">
        <x:v>云端</x:v>
      </x:c>
      <x:c r="L10" s="201" t="str">
        <x:v>原始数据 + 指标</x:v>
      </x:c>
    </x:row>
    <x:row r="11" ht="36" customHeight="1">
      <x:c r="A11" s="207" t="str">
        <x:v>必须</x:v>
      </x:c>
      <x:c r="B11" s="207" t="str">
        <x:v>原始六轴数据</x:v>
      </x:c>
      <x:c r="C11" s="207" t="str">
        <x:v>轨迹/速度/UTC</x:v>
      </x:c>
      <x:c r="D11" s="207" t="str">
        <x:v>胸带心率</x:v>
      </x:c>
      <x:c r="E11" s="207" t="str">
        <x:v>统一打时间戳</x:v>
      </x:c>
      <x:c r="F11" s="207" t="str">
        <x:v>PPS 校正偏差/漂移</x:v>
      </x:c>
      <x:c r="G11" s="207" t="str">
        <x:v>断网可用</x:v>
      </x:c>
      <x:c r="H11" s="207" t="str">
        <x:v>批量写入防丢帧</x:v>
      </x:c>
      <x:c r="I11" s="207" t="str">
        <x:v>非实时</x:v>
      </x:c>
      <x:c r="J11" s="207" t="str">
        <x:v>失败重试/校验</x:v>
      </x:c>
      <x:c r="K11" s="207" t="str">
        <x:v>可追溯</x:v>
      </x:c>
      <x:c r="L11" s="207" t="str">
        <x:v>保留固件与校准版本</x:v>
      </x:c>
    </x:row>
    <x:row r="13" ht="21" customHeight="1">
      <x:c r="A13" s="197" t="str">
        <x:v>推荐配置与取舍</x:v>
      </x:c>
      <x:c r="B13" s="197" t="str">
        <x:v>推荐配置与取舍</x:v>
      </x:c>
      <x:c r="C13" s="197" t="str">
        <x:v>推荐配置与取舍</x:v>
      </x:c>
      <x:c r="D13" s="197" t="str">
        <x:v>推荐配置与取舍</x:v>
      </x:c>
      <x:c r="E13" s="197" t="str">
        <x:v>推荐配置与取舍</x:v>
      </x:c>
      <x:c r="F13" s="197" t="str">
        <x:v>推荐配置与取舍</x:v>
      </x:c>
      <x:c r="G13" s="197" t="str">
        <x:v>推荐配置与取舍</x:v>
      </x:c>
      <x:c r="H13" s="197" t="str">
        <x:v>推荐配置与取舍</x:v>
      </x:c>
      <x:c r="I13" s="197" t="str">
        <x:v>推荐配置与取舍</x:v>
      </x:c>
      <x:c r="J13" s="197" t="str">
        <x:v>推荐配置与取舍</x:v>
      </x:c>
      <x:c r="K13" s="197" t="str">
        <x:v>推荐配置与取舍</x:v>
      </x:c>
      <x:c r="L13" s="197" t="str">
        <x:v>推荐配置与取舍</x:v>
      </x:c>
    </x:row>
    <x:row r="14" ht="27" customHeight="1">
      <x:c r="A14" s="212" t="str">
        <x:v>层级</x:v>
      </x:c>
      <x:c r="B14" s="212" t="str">
        <x:v>模块</x:v>
      </x:c>
      <x:c r="C14" s="212" t="str">
        <x:v>V0 选型</x:v>
      </x:c>
      <x:c r="D14" s="212" t="str">
        <x:v>接口</x:v>
      </x:c>
      <x:c r="E14" s="212" t="str">
        <x:v>建议频率</x:v>
      </x:c>
      <x:c r="F14" s="212" t="str">
        <x:v>核对价</x:v>
      </x:c>
      <x:c r="G14" s="212" t="str">
        <x:v>状态</x:v>
      </x:c>
      <x:c r="H14" s="212" t="str">
        <x:v>为什么选</x:v>
      </x:c>
      <x:c r="I14" s="212" t="str">
        <x:v>关键风险</x:v>
      </x:c>
      <x:c r="J14" s="212" t="str">
        <x:v>验证重点</x:v>
      </x:c>
      <x:c r="K14" s="212" t="str">
        <x:v>升级路径</x:v>
      </x:c>
      <x:c r="L14" s="212" t="str">
        <x:v>是否必须</x:v>
      </x:c>
    </x:row>
    <x:row r="15" ht="46.5" customHeight="1">
      <x:c r="A15" s="217" t="str">
        <x:v>主控</x:v>
      </x:c>
      <x:c r="B15" s="217" t="str">
        <x:v>控制与联网</x:v>
      </x:c>
      <x:c r="C15" s="217" t="str">
        <x:v>FireBeetle 2 ESP32-S3 N4</x:v>
      </x:c>
      <x:c r="D15" s="217" t="str">
        <x:v>SPI / UART / BLE / Wi-Fi</x:v>
      </x:c>
      <x:c r="E15" s="217" t="str">
        <x:v>—</x:v>
      </x:c>
      <x:c r="F15" s="221" t="n">
        <x:v>69</x:v>
      </x:c>
      <x:c r="G15" s="217" t="str">
        <x:v>首选</x:v>
      </x:c>
      <x:c r="H15" s="217" t="str">
        <x:v>带电池充电、接口比 XIAO 方便，性能足够</x:v>
      </x:c>
      <x:c r="I15" s="217" t="str">
        <x:v>开发板仍偏大，量产需重做底板</x:v>
      </x:c>
      <x:c r="J15" s="217" t="str">
        <x:v>并行采集与 SD 写入是否丢帧</x:v>
      </x:c>
      <x:c r="K15" s="217" t="str">
        <x:v>自研 ESP32-S3 主板</x:v>
      </x:c>
      <x:c r="L15" s="217" t="str">
        <x:v>是</x:v>
      </x:c>
    </x:row>
    <x:row r="16" ht="46.5" customHeight="1">
      <x:c r="A16" s="217" t="str">
        <x:v>运动</x:v>
      </x:c>
      <x:c r="B16" s="217" t="str">
        <x:v>六轴 IMU</x:v>
      </x:c>
      <x:c r="C16" s="217" t="str">
        <x:v>ICM-42688-P 转接板</x:v>
      </x:c>
      <x:c r="D16" s="217" t="str">
        <x:v>优先 SPI + INT</x:v>
      </x:c>
      <x:c r="E16" s="217" t="str">
        <x:v>400 Hz 起</x:v>
      </x:c>
      <x:c r="F16" s="221" t="n">
        <x:v>85</x:v>
      </x:c>
      <x:c r="G16" s="217" t="str">
        <x:v>首选</x:v>
      </x:c>
      <x:c r="H16" s="217" t="str">
        <x:v>原始数据、FIFO、驱动成熟，适合动作算法</x:v>
      </x:c>
      <x:c r="I16" s="217" t="str">
        <x:v>模块来源与焊接质量需验证</x:v>
      </x:c>
      <x:c r="J16" s="217" t="str">
        <x:v>冲刺/急停/对抗时饱和与掉样</x:v>
      </x:c>
      <x:c r="K16" s="217" t="str">
        <x:v>ICM-45686 高量程</x:v>
      </x:c>
      <x:c r="L16" s="217" t="str">
        <x:v>是</x:v>
      </x:c>
    </x:row>
    <x:row r="17" ht="46.5" customHeight="1">
      <x:c r="A17" s="217" t="str">
        <x:v>定位</x:v>
      </x:c>
      <x:c r="B17" s="217" t="str">
        <x:v>双频 GNSS</x:v>
      </x:c>
      <x:c r="C17" s="217" t="str">
        <x:v>UM620 开发板 + 天线</x:v>
      </x:c>
      <x:c r="D17" s="217" t="str">
        <x:v>UART + 1PPS</x:v>
      </x:c>
      <x:c r="E17" s="217" t="str">
        <x:v>10 Hz</x:v>
      </x:c>
      <x:c r="F17" s="221" t="n">
        <x:v>94.8</x:v>
      </x:c>
      <x:c r="G17" s="217" t="str">
        <x:v>首选</x:v>
      </x:c>
      <x:c r="H17" s="217" t="str">
        <x:v>L1+L5、10 Hz、PPS，成本与性能平衡</x:v>
      </x:c>
      <x:c r="I17" s="217" t="str">
        <x:v>天线位置和遮挡决定实际效果</x:v>
      </x:c>
      <x:c r="J17" s="217" t="str">
        <x:v>开阔场轨迹、速度连续性与 PPS</x:v>
      </x:c>
      <x:c r="K17" s="217" t="str">
        <x:v>LC29HEA / LG290P RTK</x:v>
      </x:c>
      <x:c r="L17" s="217" t="str">
        <x:v>是</x:v>
      </x:c>
    </x:row>
    <x:row r="18" ht="46.5" customHeight="1">
      <x:c r="A18" s="217" t="str">
        <x:v>生理</x:v>
      </x:c>
      <x:c r="B18" s="217" t="str">
        <x:v>胸带心率</x:v>
      </x:c>
      <x:c r="C18" s="217" t="str">
        <x:v>Magene H303</x:v>
      </x:c>
      <x:c r="D18" s="217" t="str">
        <x:v>BLE Heart Rate Service</x:v>
      </x:c>
      <x:c r="E18" s="217" t="str">
        <x:v>事件约 1–4 Hz</x:v>
      </x:c>
      <x:c r="F18" s="221" t="n">
        <x:v>69.9</x:v>
      </x:c>
      <x:c r="G18" s="217" t="str">
        <x:v>首选</x:v>
      </x:c>
      <x:c r="H18" s="217" t="str">
        <x:v>标准 BLE HRS，接入简单，成本低</x:v>
      </x:c>
      <x:c r="I18" s="217" t="str">
        <x:v>不同固件广播/连接策略需实测</x:v>
      </x:c>
      <x:c r="J18" s="217" t="str">
        <x:v>高强度间歇和断连重连</x:v>
      </x:c>
      <x:c r="K18" s="217" t="str">
        <x:v>Polar H10 作参考</x:v>
      </x:c>
      <x:c r="L18" s="217" t="str">
        <x:v>是</x:v>
      </x:c>
    </x:row>
    <x:row r="19" ht="46.5" customHeight="1">
      <x:c r="A19" s="217" t="str">
        <x:v>存储</x:v>
      </x:c>
      <x:c r="B19" s="217" t="str">
        <x:v>本地记录</x:v>
      </x:c>
      <x:c r="C19" s="217" t="str">
        <x:v>Waveshare MicroSD + 128GB V30</x:v>
      </x:c>
      <x:c r="D19" s="217" t="str">
        <x:v>SPI</x:v>
      </x:c>
      <x:c r="E19" s="217" t="str">
        <x:v>4–32 KB 批量写</x:v>
      </x:c>
      <x:c r="F19" s="221" t="n">
        <x:v>55.67</x:v>
      </x:c>
      <x:c r="G19" s="217" t="str">
        <x:v>首选</x:v>
      </x:c>
      <x:c r="H19" s="217" t="str">
        <x:v>先本地落盘，断网不影响采集</x:v>
      </x:c>
      <x:c r="I19" s="217" t="str">
        <x:v>SPI 总线仲裁与掉电文件损坏</x:v>
      </x:c>
      <x:c r="J19" s="217" t="str">
        <x:v>持续写入、异常关机恢复</x:v>
      </x:c>
      <x:c r="K19" s="217" t="str">
        <x:v>量产板载 eMMC/Flash</x:v>
      </x:c>
      <x:c r="L19" s="217" t="str">
        <x:v>是</x:v>
      </x:c>
    </x:row>
    <x:row r="20" ht="46.5" customHeight="1">
      <x:c r="A20" s="217" t="str">
        <x:v>联网</x:v>
      </x:c>
      <x:c r="B20" s="217" t="str">
        <x:v>云端上传</x:v>
      </x:c>
      <x:c r="C20" s="217" t="str">
        <x:v>ESP32-S3 Wi-Fi</x:v>
      </x:c>
      <x:c r="D20" s="217" t="str">
        <x:v>HTTPS / MQTT</x:v>
      </x:c>
      <x:c r="E20" s="217" t="str">
        <x:v>赛后</x:v>
      </x:c>
      <x:c r="F20" s="221" t="n">
        <x:v>0</x:v>
      </x:c>
      <x:c r="G20" s="217" t="str">
        <x:v>首选</x:v>
      </x:c>
      <x:c r="H20" s="217" t="str">
        <x:v>验证阶段最省开发和功耗</x:v>
      </x:c>
      <x:c r="I20" s="217" t="str">
        <x:v>依赖场边 Wi-Fi/手机热点</x:v>
      </x:c>
      <x:c r="J20" s="217" t="str">
        <x:v>分片、校验、断点续传</x:v>
      </x:c>
      <x:c r="K20" s="217" t="str">
        <x:v>二阶段独立 4G UART 模块</x:v>
      </x:c>
      <x:c r="L20" s="217" t="str">
        <x:v>是</x:v>
      </x:c>
    </x:row>
    <x:row r="21" ht="46.5" customHeight="1">
      <x:c r="A21" s="217" t="str">
        <x:v>蜂窝</x:v>
      </x:c>
      <x:c r="B21" s="217" t="str">
        <x:v>4G</x:v>
      </x:c>
      <x:c r="C21" s="217" t="str">
        <x:v>EC200U / EG800Z 开发板</x:v>
      </x:c>
      <x:c r="D21" s="217" t="str">
        <x:v>UART</x:v>
      </x:c>
      <x:c r="E21" s="217" t="str">
        <x:v>赛后或准实时</x:v>
      </x:c>
      <x:c r="F21" s="221" t="n">
        <x:v>79</x:v>
      </x:c>
      <x:c r="G21" s="217" t="str">
        <x:v>暂缓</x:v>
      </x:c>
      <x:c r="H21" s="217" t="str">
        <x:v>无手机/Wi-Fi 时可独立上传</x:v>
      </x:c>
      <x:c r="I21" s="217" t="str">
        <x:v>峰值电流、天线、SIM、体积、散热</x:v>
      </x:c>
      <x:c r="J21" s="217" t="str">
        <x:v>独立电源域和重连状态机</x:v>
      </x:c>
      <x:c r="K21" s="217" t="str">
        <x:v>Cat.1 bis 量产模块</x:v>
      </x:c>
      <x:c r="L21" s="217" t="str">
        <x:v>否</x:v>
      </x:c>
    </x:row>
    <x:row r="22" ht="46.5" customHeight="1">
      <x:c r="A22" s="217" t="str">
        <x:v>供电</x:v>
      </x:c>
      <x:c r="B22" s="217" t="str">
        <x:v>电池</x:v>
      </x:c>
      <x:c r="C22" s="217" t="str">
        <x:v>3.7V 2000mAh 保护板电池</x:v>
      </x:c>
      <x:c r="D22" s="217" t="str">
        <x:v>JST / PH2.0</x:v>
      </x:c>
      <x:c r="E22" s="217" t="str">
        <x:v>目标 ≥2 h</x:v>
      </x:c>
      <x:c r="F22" s="221" t="n">
        <x:v>10.8</x:v>
      </x:c>
      <x:c r="G22" s="217" t="str">
        <x:v>首选</x:v>
      </x:c>
      <x:c r="H22" s="217" t="str">
        <x:v>成本低，验证阶段容量足够</x:v>
      </x:c>
      <x:c r="I22" s="217" t="str">
        <x:v>容量虚标、极性与认证必须实测</x:v>
      </x:c>
      <x:c r="J22" s="217" t="str">
        <x:v>高负载压降与温升</x:v>
      </x:c>
      <x:c r="K22" s="217" t="str">
        <x:v>定制电芯 + 电量计</x:v>
      </x:c>
      <x:c r="L22" s="217" t="str">
        <x:v>是</x:v>
      </x:c>
    </x:row>
    <x:row r="23" ht="46.5" customHeight="1">
      <x:c r="A23" s="218" t="str">
        <x:v>载体</x:v>
      </x:c>
      <x:c r="B23" s="218" t="str">
        <x:v>训练背心</x:v>
      </x:c>
      <x:c r="C23" s="218" t="str">
        <x:v>CSSIT GPS 口袋背心</x:v>
      </x:c>
      <x:c r="D23" s="218" t="str">
        <x:v>可拆卸后背仓</x:v>
      </x:c>
      <x:c r="E23" s="218" t="str">
        <x:v>—</x:v>
      </x:c>
      <x:c r="F23" s="222" t="n">
        <x:v>59.8</x:v>
      </x:c>
      <x:c r="G23" s="218" t="str">
        <x:v>首选</x:v>
      </x:c>
      <x:c r="H23" s="218" t="str">
        <x:v>无需立刻开发纺织与结构</x:v>
      </x:c>
      <x:c r="I23" s="218" t="str">
        <x:v>口袋晃动、汗液、防水</x:v>
      </x:c>
      <x:c r="J23" s="218" t="str">
        <x:v>固定、舒适和碰撞安全</x:v>
      </x:c>
      <x:c r="K23" s="218" t="str">
        <x:v>定制压胶背心</x:v>
      </x:c>
      <x:c r="L23" s="218" t="str">
        <x:v>是</x:v>
      </x:c>
    </x:row>
  </x:sheetData>
  <x:mergeCells>
    <x:mergeCell ref="A1:L2"/>
    <x:mergeCell ref="A3:L3"/>
    <x:mergeCell ref="A5:C5"/>
    <x:mergeCell ref="D5:F5"/>
    <x:mergeCell ref="G5:I5"/>
    <x:mergeCell ref="J5:L5"/>
    <x:mergeCell ref="A6:C7"/>
    <x:mergeCell ref="D6:F7"/>
    <x:mergeCell ref="G6:I7"/>
    <x:mergeCell ref="J6:L7"/>
    <x:mergeCell ref="A9:L9"/>
    <x:mergeCell ref="A13:L13"/>
  </x:mergeCells>
  <x:conditionalFormatting sqref="G15:G23">
    <x:cfRule type="containsText" dxfId="0" priority="1" operator="containsText" text="首选"/>
    <x:cfRule type="containsText" dxfId="1" priority="2" operator="containsText" text="对照"/>
    <x:cfRule type="containsText" dxfId="2" priority="3" operator="containsText" text="备选"/>
    <x:cfRule type="containsText" dxfId="3" priority="4" operator="containsText" text="暂缓"/>
    <x:cfRule type="containsText" dxfId="4" priority="5" operator="containsText" text="不建议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11" hidden="0" customWidth="1"/>
    <x:col min="5" max="5" width="16" hidden="0" customWidth="1"/>
    <x:col min="6" max="6" width="17" hidden="0" customWidth="1"/>
    <x:col min="7" max="7" width="22" hidden="0" customWidth="1"/>
    <x:col min="8" max="8" width="30" hidden="0" customWidth="1"/>
    <x:col min="9" max="9" width="16" hidden="0" customWidth="1"/>
    <x:col min="10" max="10" width="26" hidden="0" customWidth="1"/>
    <x:col min="11" max="11" width="27" hidden="0" customWidth="1"/>
    <x:col min="12" max="12" width="31" hidden="0" customWidth="1"/>
    <x:col min="13" max="13" width="12" hidden="0" customWidth="1"/>
    <x:col min="14" max="14" width="15" hidden="0" customWidth="1"/>
    <x:col min="15" max="15" width="24" hidden="0" customWidth="1"/>
  </x:cols>
  <x:sheetData>
    <x:row r="1" ht="36" customHeight="1">
      <x:c r="A1" s="4" t="str">
        <x:v>IMU 主流模块专项对比</x:v>
      </x:c>
      <x:c r="B1" s="4" t="str">
        <x:v>IMU 主流模块专项对比</x:v>
      </x:c>
      <x:c r="C1" s="4" t="str">
        <x:v>IMU 主流模块专项对比</x:v>
      </x:c>
      <x:c r="D1" s="4" t="str">
        <x:v>IMU 主流模块专项对比</x:v>
      </x:c>
      <x:c r="E1" s="4" t="str">
        <x:v>IMU 主流模块专项对比</x:v>
      </x:c>
      <x:c r="F1" s="4" t="str">
        <x:v>IMU 主流模块专项对比</x:v>
      </x:c>
      <x:c r="G1" s="4" t="str">
        <x:v>IMU 主流模块专项对比</x:v>
      </x:c>
      <x:c r="H1" s="4" t="str">
        <x:v>IMU 主流模块专项对比</x:v>
      </x:c>
      <x:c r="I1" s="4" t="str">
        <x:v>IMU 主流模块专项对比</x:v>
      </x:c>
      <x:c r="J1" s="4" t="str">
        <x:v>IMU 主流模块专项对比</x:v>
      </x:c>
      <x:c r="K1" s="4" t="str">
        <x:v>IMU 主流模块专项对比</x:v>
      </x:c>
      <x:c r="L1" s="4" t="str">
        <x:v>IMU 主流模块专项对比</x:v>
      </x:c>
      <x:c r="M1" s="4" t="str">
        <x:v>IMU 主流模块专项对比</x:v>
      </x:c>
      <x:c r="N1" s="4" t="str">
        <x:v>IMU 主流模块专项对比</x:v>
      </x:c>
      <x:c r="O1" s="4" t="str">
        <x:v>IMU 主流模块专项对比</x:v>
      </x:c>
    </x:row>
    <x:row r="2" ht="36" customHeight="1">
      <x:c r="A2" s="4" t="str">
        <x:v>IMU 主流模块专项对比</x:v>
      </x:c>
      <x:c r="B2" s="4" t="str">
        <x:v>IMU 主流模块专项对比</x:v>
      </x:c>
      <x:c r="C2" s="4" t="str">
        <x:v>IMU 主流模块专项对比</x:v>
      </x:c>
      <x:c r="D2" s="4" t="str">
        <x:v>IMU 主流模块专项对比</x:v>
      </x:c>
      <x:c r="E2" s="4" t="str">
        <x:v>IMU 主流模块专项对比</x:v>
      </x:c>
      <x:c r="F2" s="4" t="str">
        <x:v>IMU 主流模块专项对比</x:v>
      </x:c>
      <x:c r="G2" s="4" t="str">
        <x:v>IMU 主流模块专项对比</x:v>
      </x:c>
      <x:c r="H2" s="4" t="str">
        <x:v>IMU 主流模块专项对比</x:v>
      </x:c>
      <x:c r="I2" s="4" t="str">
        <x:v>IMU 主流模块专项对比</x:v>
      </x:c>
      <x:c r="J2" s="4" t="str">
        <x:v>IMU 主流模块专项对比</x:v>
      </x:c>
      <x:c r="K2" s="4" t="str">
        <x:v>IMU 主流模块专项对比</x:v>
      </x:c>
      <x:c r="L2" s="4" t="str">
        <x:v>IMU 主流模块专项对比</x:v>
      </x:c>
      <x:c r="M2" s="4" t="str">
        <x:v>IMU 主流模块专项对比</x:v>
      </x:c>
      <x:c r="N2" s="4" t="str">
        <x:v>IMU 主流模块专项对比</x:v>
      </x:c>
      <x:c r="O2" s="4" t="str">
        <x:v>IMU 主流模块专项对比</x:v>
      </x:c>
    </x:row>
    <x:row r="3" ht="25.5" customHeight="1">
      <x:c r="A3" s="10" t="str">
        <x:v>足球背心优先看：原始数据可控、足够量程、FIFO/中断、稳定时间戳和机械固定；“九轴/姿态角”不等于更适合动作算法。</x:v>
      </x:c>
      <x:c r="B3" s="10" t="str">
        <x:v>足球背心优先看：原始数据可控、足够量程、FIFO/中断、稳定时间戳和机械固定；“九轴/姿态角”不等于更适合动作算法。</x:v>
      </x:c>
      <x:c r="C3" s="10" t="str">
        <x:v>足球背心优先看：原始数据可控、足够量程、FIFO/中断、稳定时间戳和机械固定；“九轴/姿态角”不等于更适合动作算法。</x:v>
      </x:c>
      <x:c r="D3" s="10" t="str">
        <x:v>足球背心优先看：原始数据可控、足够量程、FIFO/中断、稳定时间戳和机械固定；“九轴/姿态角”不等于更适合动作算法。</x:v>
      </x:c>
      <x:c r="E3" s="10" t="str">
        <x:v>足球背心优先看：原始数据可控、足够量程、FIFO/中断、稳定时间戳和机械固定；“九轴/姿态角”不等于更适合动作算法。</x:v>
      </x:c>
      <x:c r="F3" s="10" t="str">
        <x:v>足球背心优先看：原始数据可控、足够量程、FIFO/中断、稳定时间戳和机械固定；“九轴/姿态角”不等于更适合动作算法。</x:v>
      </x:c>
      <x:c r="G3" s="10" t="str">
        <x:v>足球背心优先看：原始数据可控、足够量程、FIFO/中断、稳定时间戳和机械固定；“九轴/姿态角”不等于更适合动作算法。</x:v>
      </x:c>
      <x:c r="H3" s="10" t="str">
        <x:v>足球背心优先看：原始数据可控、足够量程、FIFO/中断、稳定时间戳和机械固定；“九轴/姿态角”不等于更适合动作算法。</x:v>
      </x:c>
      <x:c r="I3" s="10" t="str">
        <x:v>足球背心优先看：原始数据可控、足够量程、FIFO/中断、稳定时间戳和机械固定；“九轴/姿态角”不等于更适合动作算法。</x:v>
      </x:c>
      <x:c r="J3" s="10" t="str">
        <x:v>足球背心优先看：原始数据可控、足够量程、FIFO/中断、稳定时间戳和机械固定；“九轴/姿态角”不等于更适合动作算法。</x:v>
      </x:c>
      <x:c r="K3" s="10" t="str">
        <x:v>足球背心优先看：原始数据可控、足够量程、FIFO/中断、稳定时间戳和机械固定；“九轴/姿态角”不等于更适合动作算法。</x:v>
      </x:c>
      <x:c r="L3" s="10" t="str">
        <x:v>足球背心优先看：原始数据可控、足够量程、FIFO/中断、稳定时间戳和机械固定；“九轴/姿态角”不等于更适合动作算法。</x:v>
      </x:c>
      <x:c r="M3" s="10" t="str">
        <x:v>足球背心优先看：原始数据可控、足够量程、FIFO/中断、稳定时间戳和机械固定；“九轴/姿态角”不等于更适合动作算法。</x:v>
      </x:c>
      <x:c r="N3" s="10" t="str">
        <x:v>足球背心优先看：原始数据可控、足够量程、FIFO/中断、稳定时间戳和机械固定；“九轴/姿态角”不等于更适合动作算法。</x:v>
      </x:c>
      <x:c r="O3" s="10" t="str">
        <x:v>足球背心优先看：原始数据可控、足够量程、FIFO/中断、稳定时间戳和机械固定；“九轴/姿态角”不等于更适合动作算法。</x:v>
      </x:c>
    </x:row>
    <x:row r="4" ht="27" customHeight="1">
      <x:c r="A4" s="212" t="str">
        <x:v>图片</x:v>
      </x:c>
      <x:c r="B4" s="212" t="str">
        <x:v>型号</x:v>
      </x:c>
      <x:c r="C4" s="212" t="str">
        <x:v>模块类型</x:v>
      </x:c>
      <x:c r="D4" s="212" t="str">
        <x:v>轴数</x:v>
      </x:c>
      <x:c r="E4" s="212" t="str">
        <x:v>加速度量程</x:v>
      </x:c>
      <x:c r="F4" s="212" t="str">
        <x:v>陀螺量程</x:v>
      </x:c>
      <x:c r="G4" s="212" t="str">
        <x:v>输出/ODR</x:v>
      </x:c>
      <x:c r="H4" s="212" t="str">
        <x:v>原始数据与时间控制</x:v>
      </x:c>
      <x:c r="I4" s="212" t="str">
        <x:v>接口</x:v>
      </x:c>
      <x:c r="J4" s="212" t="str">
        <x:v>算法与生态</x:v>
      </x:c>
      <x:c r="K4" s="212" t="str">
        <x:v>主要优势</x:v>
      </x:c>
      <x:c r="L4" s="212" t="str">
        <x:v>限制/风险</x:v>
      </x:c>
      <x:c r="M4" s="212" t="str">
        <x:v>淘宝核对价</x:v>
      </x:c>
      <x:c r="N4" s="212" t="str">
        <x:v>商品链接</x:v>
      </x:c>
      <x:c r="O4" s="212" t="str">
        <x:v>建议</x:v>
      </x:c>
    </x:row>
    <x:row r="5" ht="63" customHeight="1">
      <x:c r="A5" s="227" t="str">
        <x:v>商品图已嵌入</x:v>
      </x:c>
      <x:c r="B5" s="217" t="str">
        <x:v>ICM-42688-P</x:v>
      </x:c>
      <x:c r="C5" s="217" t="str">
        <x:v>裸芯片转接板</x:v>
      </x:c>
      <x:c r="D5" s="217" t="str">
        <x:v>6 轴</x:v>
      </x:c>
      <x:c r="E5" s="217" t="str">
        <x:v>±2/4/8/16 g</x:v>
      </x:c>
      <x:c r="F5" s="217" t="str">
        <x:v>±15.6…2000 dps</x:v>
      </x:c>
      <x:c r="G5" s="217" t="str">
        <x:v>高 ODR；建议 400 Hz</x:v>
      </x:c>
      <x:c r="H5" s="217" t="str">
        <x:v>FIFO + 数据就绪中断；可由 ESP32 统一打时间戳</x:v>
      </x:c>
      <x:c r="I5" s="217" t="str">
        <x:v>SPI / I²C</x:v>
      </x:c>
      <x:c r="J5" s="217" t="str">
        <x:v>驱动成熟，原始数据算法空间大</x:v>
      </x:c>
      <x:c r="K5" s="217" t="str">
        <x:v>噪声、功耗、生态和价格均衡</x:v>
      </x:c>
      <x:c r="L5" s="217" t="str">
        <x:v>±16 g 在强碰撞时可能饱和；需核对板上电平与引脚</x:v>
      </x:c>
      <x:c r="M5" s="221" t="n">
        <x:v>85</x:v>
      </x:c>
      <x:c r="N5" s="231" t="str">
        <x:v>https://item.taobao.com/item.htm?id=824324354383</x:v>
      </x:c>
      <x:c r="O5" s="217" t="str">
        <x:v>首选：V0 主数据源</x:v>
      </x:c>
    </x:row>
    <x:row r="6" ht="63" customHeight="1">
      <x:c r="A6" s="227" t="str">
        <x:v>商品图已嵌入</x:v>
      </x:c>
      <x:c r="B6" s="217" t="str">
        <x:v>ICM-45686</x:v>
      </x:c>
      <x:c r="C6" s="217" t="str">
        <x:v>新一代裸芯片板</x:v>
      </x:c>
      <x:c r="D6" s="217" t="str">
        <x:v>6 轴</x:v>
      </x:c>
      <x:c r="E6" s="217" t="str">
        <x:v>最高 ±32 g</x:v>
      </x:c>
      <x:c r="F6" s="217" t="str">
        <x:v>最高 ±4000 dps</x:v>
      </x:c>
      <x:c r="G6" s="217" t="str">
        <x:v>高 ODR / 高分辨率 FIFO</x:v>
      </x:c>
      <x:c r="H6" s="217" t="str">
        <x:v>FIFO + 中断；时间控制优秀</x:v>
      </x:c>
      <x:c r="I6" s="217" t="str">
        <x:v>SPI / I²C / I3C*</x:v>
      </x:c>
      <x:c r="J6" s="217" t="str">
        <x:v>新器件，驱动与案例少于 42688</x:v>
      </x:c>
      <x:c r="K6" s="217" t="str">
        <x:v>高动态范围更适合冲击和对抗</x:v>
      </x:c>
      <x:c r="L6" s="217" t="str">
        <x:v>生态较新；先确认所购模块固件/库</x:v>
      </x:c>
      <x:c r="M6" s="221" t="n">
        <x:v>85</x:v>
      </x:c>
      <x:c r="N6" s="231" t="str">
        <x:v>https://item.taobao.com/item.htm?id=844676198600</x:v>
      </x:c>
      <x:c r="O6" s="217" t="str">
        <x:v>对照：高冲击升级候选</x:v>
      </x:c>
    </x:row>
    <x:row r="7" ht="63" customHeight="1">
      <x:c r="A7" s="227" t="str">
        <x:v>商品图已嵌入</x:v>
      </x:c>
      <x:c r="B7" s="217" t="str">
        <x:v>BMI088</x:v>
      </x:c>
      <x:c r="C7" s="217" t="str">
        <x:v>抗振六轴板</x:v>
      </x:c>
      <x:c r="D7" s="217" t="str">
        <x:v>6 轴</x:v>
      </x:c>
      <x:c r="E7" s="217" t="str">
        <x:v>±3/6/12/24 g</x:v>
      </x:c>
      <x:c r="F7" s="217" t="str">
        <x:v>±125…2000 dps</x:v>
      </x:c>
      <x:c r="G7" s="217" t="str">
        <x:v>加速度最高 1.6 kHz；陀螺最高 2 kHz</x:v>
      </x:c>
      <x:c r="H7" s="217" t="str">
        <x:v>独立传感器 + 中断；需软件合并时间线</x:v>
      </x:c>
      <x:c r="I7" s="217" t="str">
        <x:v>SPI / I²C</x:v>
      </x:c>
      <x:c r="J7" s="217" t="str">
        <x:v>机器人/无人机应用多</x:v>
      </x:c>
      <x:c r="K7" s="217" t="str">
        <x:v>抗振、量程大，适合作为稳健性对照</x:v>
      </x:c>
      <x:c r="L7" s="217" t="str">
        <x:v>功耗较高；加速度计和陀螺仪为独立芯片接口</x:v>
      </x:c>
      <x:c r="M7" s="221" t="n">
        <x:v>70</x:v>
      </x:c>
      <x:c r="N7" s="231" t="str">
        <x:v>https://item.taobao.com/item.htm?id=974795061349</x:v>
      </x:c>
      <x:c r="O7" s="217" t="str">
        <x:v>对照：抗振基准</x:v>
      </x:c>
    </x:row>
    <x:row r="8" ht="63" customHeight="1">
      <x:c r="A8" s="227" t="str">
        <x:v>—</x:v>
      </x:c>
      <x:c r="B8" s="217" t="str">
        <x:v>LSM6DS3</x:v>
      </x:c>
      <x:c r="C8" s="217" t="str">
        <x:v>低成本六轴板</x:v>
      </x:c>
      <x:c r="D8" s="217" t="str">
        <x:v>6 轴</x:v>
      </x:c>
      <x:c r="E8" s="217" t="str">
        <x:v>±2/4/8/16 g</x:v>
      </x:c>
      <x:c r="F8" s="217" t="str">
        <x:v>±125…2000 dps</x:v>
      </x:c>
      <x:c r="G8" s="217" t="str">
        <x:v>最高约 1.66 kHz</x:v>
      </x:c>
      <x:c r="H8" s="217" t="str">
        <x:v>FIFO + 中断；可统一打时间戳</x:v>
      </x:c>
      <x:c r="I8" s="217" t="str">
        <x:v>SPI / I²C</x:v>
      </x:c>
      <x:c r="J8" s="217" t="str">
        <x:v>资料多、Arduino 生态成熟</x:v>
      </x:c>
      <x:c r="K8" s="217" t="str">
        <x:v>价格低、低功耗、容易买到</x:v>
      </x:c>
      <x:c r="L8" s="217" t="str">
        <x:v>老一代器件；便宜板的晶振/焊接/来源差异大</x:v>
      </x:c>
      <x:c r="M8" s="221" t="n">
        <x:v>6.3</x:v>
      </x:c>
      <x:c r="N8" s="231" t="str">
        <x:v>https://item.taobao.com/item.htm?id=1049608323994</x:v>
      </x:c>
      <x:c r="O8" s="217" t="str">
        <x:v>备选：低成本功能验证</x:v>
      </x:c>
    </x:row>
    <x:row r="9" ht="63" customHeight="1">
      <x:c r="A9" s="227" t="str">
        <x:v>—</x:v>
      </x:c>
      <x:c r="B9" s="217" t="str">
        <x:v>QMI8658</x:v>
      </x:c>
      <x:c r="C9" s="217" t="str">
        <x:v>国产低成本六轴板</x:v>
      </x:c>
      <x:c r="D9" s="217" t="str">
        <x:v>6 轴</x:v>
      </x:c>
      <x:c r="E9" s="217" t="str">
        <x:v>常见 ±2…16 g</x:v>
      </x:c>
      <x:c r="F9" s="217" t="str">
        <x:v>常见 ±16…2048 dps</x:v>
      </x:c>
      <x:c r="G9" s="217" t="str">
        <x:v>模块/驱动资料差异较大</x:v>
      </x:c>
      <x:c r="H9" s="217" t="str">
        <x:v>通常有 FIFO/中断；需逐板核对</x:v>
      </x:c>
      <x:c r="I9" s="217" t="str">
        <x:v>SPI / I²C</x:v>
      </x:c>
      <x:c r="J9" s="217" t="str">
        <x:v>国产方案、成本低</x:v>
      </x:c>
      <x:c r="K9" s="217" t="str">
        <x:v>价格最低档，适合接口冒烟测试</x:v>
      </x:c>
      <x:c r="L9" s="217" t="str">
        <x:v>不同卖家板卡资料、库和寄存器版本要核对</x:v>
      </x:c>
      <x:c r="M9" s="221" t="n">
        <x:v>9.9</x:v>
      </x:c>
      <x:c r="N9" s="231" t="str">
        <x:v>https://item.taobao.com/item.htm?id=719601687670</x:v>
      </x:c>
      <x:c r="O9" s="217" t="str">
        <x:v>备选：只做低成本对照</x:v>
      </x:c>
    </x:row>
    <x:row r="10" ht="63" customHeight="1">
      <x:c r="A10" s="227" t="str">
        <x:v>—</x:v>
      </x:c>
      <x:c r="B10" s="217" t="str">
        <x:v>BNO085 / BNO080</x:v>
      </x:c>
      <x:c r="C10" s="217" t="str">
        <x:v>片上融合姿态模块</x:v>
      </x:c>
      <x:c r="D10" s="217" t="str">
        <x:v>9 轴融合</x:v>
      </x:c>
      <x:c r="E10" s="217" t="str">
        <x:v>由内部 IMU 决定</x:v>
      </x:c>
      <x:c r="F10" s="217" t="str">
        <x:v>由内部 IMU 决定</x:v>
      </x:c>
      <x:c r="G10" s="217" t="str">
        <x:v>融合输出常见最高约 400 Hz</x:v>
      </x:c>
      <x:c r="H10" s="217" t="str">
        <x:v>可输出原始/融合数据，但受内部固件调度</x:v>
      </x:c>
      <x:c r="I10" s="217" t="str">
        <x:v>I²C / SPI / UART</x:v>
      </x:c>
      <x:c r="J10" s="217" t="str">
        <x:v>直接输出四元数/姿态</x:v>
      </x:c>
      <x:c r="K10" s="217" t="str">
        <x:v>最快看到姿态效果，减少融合算法工作</x:v>
      </x:c>
      <x:c r="L10" s="217" t="str">
        <x:v>内部算法是黑盒；磁场干扰足球场环境，延迟不完全可控</x:v>
      </x:c>
      <x:c r="M10" s="221" t="n">
        <x:v>65</x:v>
      </x:c>
      <x:c r="N10" s="231" t="str">
        <x:v>https://item.taobao.com/item.htm?id=1070571606163</x:v>
      </x:c>
      <x:c r="O10" s="217" t="str">
        <x:v>备选：展示姿态，不作主原始源</x:v>
      </x:c>
    </x:row>
    <x:row r="11" ht="63" customHeight="1">
      <x:c r="A11" s="227" t="str">
        <x:v>—</x:v>
      </x:c>
      <x:c r="B11" s="217" t="str">
        <x:v>ICM-20948</x:v>
      </x:c>
      <x:c r="C11" s="217" t="str">
        <x:v>九轴裸芯片板</x:v>
      </x:c>
      <x:c r="D11" s="217" t="str">
        <x:v>9 轴</x:v>
      </x:c>
      <x:c r="E11" s="217" t="str">
        <x:v>±2/4/8/16 g</x:v>
      </x:c>
      <x:c r="F11" s="217" t="str">
        <x:v>±250…2000 dps</x:v>
      </x:c>
      <x:c r="G11" s="217" t="str">
        <x:v>原始六轴约 kHz 级</x:v>
      </x:c>
      <x:c r="H11" s="217" t="str">
        <x:v>FIFO + 中断；磁力计链路需额外处理</x:v>
      </x:c>
      <x:c r="I11" s="217" t="str">
        <x:v>SPI / I²C</x:v>
      </x:c>
      <x:c r="J11" s="217" t="str">
        <x:v>老牌 9DoF，资料较多</x:v>
      </x:c>
      <x:c r="K11" s="217" t="str">
        <x:v>一板带磁力计，可研究航向</x:v>
      </x:c>
      <x:c r="L11" s="217" t="str">
        <x:v>价格高、器件较老；磁力计对运动背心价值有限</x:v>
      </x:c>
      <x:c r="M11" s="221" t="n">
        <x:v>162</x:v>
      </x:c>
      <x:c r="N11" s="231" t="str">
        <x:v>https://item.taobao.com/item.htm?id=743348153996</x:v>
      </x:c>
      <x:c r="O11" s="217" t="str">
        <x:v>不建议：V0 性价比低</x:v>
      </x:c>
    </x:row>
    <x:row r="12" ht="63" customHeight="1">
      <x:c r="A12" s="227" t="str">
        <x:v>商品图已嵌入</x:v>
      </x:c>
      <x:c r="B12" s="217" t="str">
        <x:v>维特 WTi-603C</x:v>
      </x:c>
      <x:c r="C12" s="217" t="str">
        <x:v>成品姿态/惯导模块</x:v>
      </x:c>
      <x:c r="D12" s="217" t="str">
        <x:v>6 轴 + 内部算法</x:v>
      </x:c>
      <x:c r="E12" s="217" t="str">
        <x:v>以具体 SKU/协议为准</x:v>
      </x:c>
      <x:c r="F12" s="217" t="str">
        <x:v>以具体 SKU/协议为准</x:v>
      </x:c>
      <x:c r="G12" s="217" t="str">
        <x:v>卖家标称最高 1000 Hz</x:v>
      </x:c>
      <x:c r="H12" s="217" t="str">
        <x:v>串口输出；内部滤波、缓冲和协议引入不可见延迟</x:v>
      </x:c>
      <x:c r="I12" s="217" t="str">
        <x:v>TTL / USB / CAN*</x:v>
      </x:c>
      <x:c r="J12" s="217" t="str">
        <x:v>上位机、协议、例程齐全</x:v>
      </x:c>
      <x:c r="K12" s="217" t="str">
        <x:v>接线后很快看到姿态和原始量，开发省事</x:v>
      </x:c>
      <x:c r="L12" s="217" t="str">
        <x:v>时间同步与滤波不可完全控制；价格明显高于裸板</x:v>
      </x:c>
      <x:c r="M12" s="221" t="n">
        <x:v>175</x:v>
      </x:c>
      <x:c r="N12" s="231" t="str">
        <x:v>https://detail.tmall.com/item.htm?id=1077522192727</x:v>
      </x:c>
      <x:c r="O12" s="217" t="str">
        <x:v>对照：快速演示，不作主数据源</x:v>
      </x:c>
    </x:row>
    <x:row r="13" ht="63" customHeight="1">
      <x:c r="A13" s="227" t="str">
        <x:v>—</x:v>
      </x:c>
      <x:c r="B13" s="217" t="str">
        <x:v>维特 WT1-IMU</x:v>
      </x:c>
      <x:c r="C13" s="217" t="str">
        <x:v>低价串口倾角模块</x:v>
      </x:c>
      <x:c r="D13" s="217" t="str">
        <x:v>6 轴/倾角输出</x:v>
      </x:c>
      <x:c r="E13" s="217" t="str">
        <x:v>基于 MPU6050 类方案</x:v>
      </x:c>
      <x:c r="F13" s="217" t="str">
        <x:v>常见 ±2000 dps</x:v>
      </x:c>
      <x:c r="G13" s="217" t="str">
        <x:v>取决于固件与串口波特率</x:v>
      </x:c>
      <x:c r="H13" s="217" t="str">
        <x:v>仅能按串口到达时间标记</x:v>
      </x:c>
      <x:c r="I13" s="217" t="str">
        <x:v>UART</x:v>
      </x:c>
      <x:c r="J13" s="217" t="str">
        <x:v>协议简单、例程多</x:v>
      </x:c>
      <x:c r="K13" s="217" t="str">
        <x:v>价格低、接入很快</x:v>
      </x:c>
      <x:c r="L13" s="217" t="str">
        <x:v>老芯片、量程和噪声一般，不适合高质量运动算法</x:v>
      </x:c>
      <x:c r="M13" s="221" t="n">
        <x:v>18</x:v>
      </x:c>
      <x:c r="N13" s="231" t="str">
        <x:v>https://item.taobao.com/item.htm?id=992619475093</x:v>
      </x:c>
      <x:c r="O13" s="217" t="str">
        <x:v>不建议：仅做串口联调</x:v>
      </x:c>
    </x:row>
    <x:row r="14" ht="63" customHeight="1">
      <x:c r="A14" s="228" t="str">
        <x:v>—</x:v>
      </x:c>
      <x:c r="B14" s="218" t="str">
        <x:v>瑞芬 IMU760</x:v>
      </x:c>
      <x:c r="C14" s="218" t="str">
        <x:v>工业级 AHRS 模块</x:v>
      </x:c>
      <x:c r="D14" s="218" t="str">
        <x:v>9 轴融合</x:v>
      </x:c>
      <x:c r="E14" s="218" t="str">
        <x:v>以具体 SKU 为准</x:v>
      </x:c>
      <x:c r="F14" s="218" t="str">
        <x:v>以具体 SKU 为准</x:v>
      </x:c>
      <x:c r="G14" s="218" t="str">
        <x:v>厂商协议定义</x:v>
      </x:c>
      <x:c r="H14" s="218" t="str">
        <x:v>模块内融合；串口/CAN/USB 输出</x:v>
      </x:c>
      <x:c r="I14" s="218" t="str">
        <x:v>UART / CAN / USB / ROS</x:v>
      </x:c>
      <x:c r="J14" s="218" t="str">
        <x:v>工业封装、厂商支持</x:v>
      </x:c>
      <x:c r="K14" s="218" t="str">
        <x:v>封装完整、环境适应性和工具链较好</x:v>
      </x:c>
      <x:c r="L14" s="218" t="str">
        <x:v>成本/体积/功耗高，内部算法不利于原始数据研究</x:v>
      </x:c>
      <x:c r="M14" s="222" t="n">
        <x:v>210</x:v>
      </x:c>
      <x:c r="N14" s="232" t="str">
        <x:v>https://item.taobao.com/item.htm?id=1012017832384</x:v>
      </x:c>
      <x:c r="O14" s="218" t="str">
        <x:v>暂缓：工业对照，不适合穿戴 V0</x:v>
      </x:c>
    </x:row>
  </x:sheetData>
  <x:mergeCells>
    <x:mergeCell ref="A1:O2"/>
    <x:mergeCell ref="A3:O3"/>
  </x:mergeCells>
  <x:conditionalFormatting sqref="O5:O14">
    <x:cfRule type="containsText" dxfId="5" priority="1" operator="containsText" text="首选"/>
    <x:cfRule type="containsText" dxfId="6" priority="2" operator="containsText" text="对照"/>
    <x:cfRule type="containsText" dxfId="7" priority="3" operator="containsText" text="备选"/>
    <x:cfRule type="containsText" dxfId="8" priority="4" operator="containsText" text="暂缓"/>
    <x:cfRule type="containsText" dxfId="9" priority="5" operator="containsText" text="不建议"/>
  </x:conditionalFormatting>
  <x:pageMargins left="0.7" right="0.7" top="0.75" bottom="0.75" header="0.3" footer="0.3"/>
  <x:drawing xmlns:r="http://schemas.openxmlformats.org/officeDocument/2006/relationships" r:id="R5e919706f5a84b2f"/>
  <x:tableParts count="1">
    <x:tablePart xmlns:r="http://schemas.openxmlformats.org/officeDocument/2006/relationships" r:id="R25f3008c600748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11" hidden="0" customWidth="1"/>
    <x:col min="4" max="4" width="27" hidden="0" customWidth="1"/>
    <x:col min="5" max="5" width="18" hidden="0" customWidth="1"/>
    <x:col min="6" max="6" width="20" hidden="0" customWidth="1"/>
    <x:col min="7" max="7" width="31" hidden="0" customWidth="1"/>
    <x:col min="8" max="8" width="12" hidden="0" customWidth="1"/>
    <x:col min="9" max="9" width="15" hidden="0" customWidth="1"/>
    <x:col min="10" max="10" width="29" hidden="0" customWidth="1"/>
    <x:col min="11" max="11" width="32" hidden="0" customWidth="1"/>
    <x:col min="12" max="12" width="25" hidden="0" customWidth="1"/>
    <x:col min="13" max="13" width="11" hidden="0" customWidth="1"/>
    <x:col min="14" max="14" width="11" hidden="0" customWidth="1"/>
  </x:cols>
  <x:sheetData>
    <x:row r="1" ht="36" customHeight="1">
      <x:c r="A1" s="4" t="str">
        <x:v>智能足球背心 · 全模块横向对比</x:v>
      </x:c>
      <x:c r="B1" s="4" t="str">
        <x:v>智能足球背心 · 全模块横向对比</x:v>
      </x:c>
      <x:c r="C1" s="4" t="str">
        <x:v>智能足球背心 · 全模块横向对比</x:v>
      </x:c>
      <x:c r="D1" s="4" t="str">
        <x:v>智能足球背心 · 全模块横向对比</x:v>
      </x:c>
      <x:c r="E1" s="4" t="str">
        <x:v>智能足球背心 · 全模块横向对比</x:v>
      </x:c>
      <x:c r="F1" s="4" t="str">
        <x:v>智能足球背心 · 全模块横向对比</x:v>
      </x:c>
      <x:c r="G1" s="4" t="str">
        <x:v>智能足球背心 · 全模块横向对比</x:v>
      </x:c>
      <x:c r="H1" s="4" t="str">
        <x:v>智能足球背心 · 全模块横向对比</x:v>
      </x:c>
      <x:c r="I1" s="4" t="str">
        <x:v>智能足球背心 · 全模块横向对比</x:v>
      </x:c>
      <x:c r="J1" s="4" t="str">
        <x:v>智能足球背心 · 全模块横向对比</x:v>
      </x:c>
      <x:c r="K1" s="4" t="str">
        <x:v>智能足球背心 · 全模块横向对比</x:v>
      </x:c>
      <x:c r="L1" s="4" t="str">
        <x:v>智能足球背心 · 全模块横向对比</x:v>
      </x:c>
      <x:c r="M1" s="4" t="str">
        <x:v>智能足球背心 · 全模块横向对比</x:v>
      </x:c>
      <x:c r="N1" s="4" t="str">
        <x:v>智能足球背心 · 全模块横向对比</x:v>
      </x:c>
    </x:row>
    <x:row r="2" ht="36" customHeight="1">
      <x:c r="A2" s="4" t="str">
        <x:v>智能足球背心 · 全模块横向对比</x:v>
      </x:c>
      <x:c r="B2" s="4" t="str">
        <x:v>智能足球背心 · 全模块横向对比</x:v>
      </x:c>
      <x:c r="C2" s="4" t="str">
        <x:v>智能足球背心 · 全模块横向对比</x:v>
      </x:c>
      <x:c r="D2" s="4" t="str">
        <x:v>智能足球背心 · 全模块横向对比</x:v>
      </x:c>
      <x:c r="E2" s="4" t="str">
        <x:v>智能足球背心 · 全模块横向对比</x:v>
      </x:c>
      <x:c r="F2" s="4" t="str">
        <x:v>智能足球背心 · 全模块横向对比</x:v>
      </x:c>
      <x:c r="G2" s="4" t="str">
        <x:v>智能足球背心 · 全模块横向对比</x:v>
      </x:c>
      <x:c r="H2" s="4" t="str">
        <x:v>智能足球背心 · 全模块横向对比</x:v>
      </x:c>
      <x:c r="I2" s="4" t="str">
        <x:v>智能足球背心 · 全模块横向对比</x:v>
      </x:c>
      <x:c r="J2" s="4" t="str">
        <x:v>智能足球背心 · 全模块横向对比</x:v>
      </x:c>
      <x:c r="K2" s="4" t="str">
        <x:v>智能足球背心 · 全模块横向对比</x:v>
      </x:c>
      <x:c r="L2" s="4" t="str">
        <x:v>智能足球背心 · 全模块横向对比</x:v>
      </x:c>
      <x:c r="M2" s="4" t="str">
        <x:v>智能足球背心 · 全模块横向对比</x:v>
      </x:c>
      <x:c r="N2" s="4" t="str">
        <x:v>智能足球背心 · 全模块横向对比</x:v>
      </x:c>
    </x:row>
    <x:row r="3" ht="25.5" customHeight="1">
      <x:c r="A3" s="10" t="str">
        <x:v>推荐状态按当前目标（快速验证功能、允许赛后上传、不做 PCB）给出；RTK 与 4G 是二阶段能力，不应挤占 V0 的同步和数据质量验证。</x:v>
      </x:c>
      <x:c r="B3" s="10" t="str">
        <x:v>推荐状态按当前目标（快速验证功能、允许赛后上传、不做 PCB）给出；RTK 与 4G 是二阶段能力，不应挤占 V0 的同步和数据质量验证。</x:v>
      </x:c>
      <x:c r="C3" s="10" t="str">
        <x:v>推荐状态按当前目标（快速验证功能、允许赛后上传、不做 PCB）给出；RTK 与 4G 是二阶段能力，不应挤占 V0 的同步和数据质量验证。</x:v>
      </x:c>
      <x:c r="D3" s="10" t="str">
        <x:v>推荐状态按当前目标（快速验证功能、允许赛后上传、不做 PCB）给出；RTK 与 4G 是二阶段能力，不应挤占 V0 的同步和数据质量验证。</x:v>
      </x:c>
      <x:c r="E3" s="10" t="str">
        <x:v>推荐状态按当前目标（快速验证功能、允许赛后上传、不做 PCB）给出；RTK 与 4G 是二阶段能力，不应挤占 V0 的同步和数据质量验证。</x:v>
      </x:c>
      <x:c r="F3" s="10" t="str">
        <x:v>推荐状态按当前目标（快速验证功能、允许赛后上传、不做 PCB）给出；RTK 与 4G 是二阶段能力，不应挤占 V0 的同步和数据质量验证。</x:v>
      </x:c>
      <x:c r="G3" s="10" t="str">
        <x:v>推荐状态按当前目标（快速验证功能、允许赛后上传、不做 PCB）给出；RTK 与 4G 是二阶段能力，不应挤占 V0 的同步和数据质量验证。</x:v>
      </x:c>
      <x:c r="H3" s="10" t="str">
        <x:v>推荐状态按当前目标（快速验证功能、允许赛后上传、不做 PCB）给出；RTK 与 4G 是二阶段能力，不应挤占 V0 的同步和数据质量验证。</x:v>
      </x:c>
      <x:c r="I3" s="10" t="str">
        <x:v>推荐状态按当前目标（快速验证功能、允许赛后上传、不做 PCB）给出；RTK 与 4G 是二阶段能力，不应挤占 V0 的同步和数据质量验证。</x:v>
      </x:c>
      <x:c r="J3" s="10" t="str">
        <x:v>推荐状态按当前目标（快速验证功能、允许赛后上传、不做 PCB）给出；RTK 与 4G 是二阶段能力，不应挤占 V0 的同步和数据质量验证。</x:v>
      </x:c>
      <x:c r="K3" s="10" t="str">
        <x:v>推荐状态按当前目标（快速验证功能、允许赛后上传、不做 PCB）给出；RTK 与 4G 是二阶段能力，不应挤占 V0 的同步和数据质量验证。</x:v>
      </x:c>
      <x:c r="L3" s="10" t="str">
        <x:v>推荐状态按当前目标（快速验证功能、允许赛后上传、不做 PCB）给出；RTK 与 4G 是二阶段能力，不应挤占 V0 的同步和数据质量验证。</x:v>
      </x:c>
      <x:c r="M3" s="10" t="str">
        <x:v>推荐状态按当前目标（快速验证功能、允许赛后上传、不做 PCB）给出；RTK 与 4G 是二阶段能力，不应挤占 V0 的同步和数据质量验证。</x:v>
      </x:c>
      <x:c r="N3" s="10" t="str">
        <x:v>推荐状态按当前目标（快速验证功能、允许赛后上传、不做 PCB）给出；RTK 与 4G 是二阶段能力，不应挤占 V0 的同步和数据质量验证。</x:v>
      </x:c>
    </x:row>
    <x:row r="4" ht="27" customHeight="1">
      <x:c r="A4" s="212" t="str">
        <x:v>图片</x:v>
      </x:c>
      <x:c r="B4" s="212" t="str">
        <x:v>类别</x:v>
      </x:c>
      <x:c r="C4" s="212" t="str">
        <x:v>阶段</x:v>
      </x:c>
      <x:c r="D4" s="212" t="str">
        <x:v>型号 / 商品</x:v>
      </x:c>
      <x:c r="E4" s="212" t="str">
        <x:v>形态</x:v>
      </x:c>
      <x:c r="F4" s="212" t="str">
        <x:v>接口</x:v>
      </x:c>
      <x:c r="G4" s="212" t="str">
        <x:v>关键参数</x:v>
      </x:c>
      <x:c r="H4" s="212" t="str">
        <x:v>淘宝核对价</x:v>
      </x:c>
      <x:c r="I4" s="212" t="str">
        <x:v>商品链接</x:v>
      </x:c>
      <x:c r="J4" s="212" t="str">
        <x:v>主要优势</x:v>
      </x:c>
      <x:c r="K4" s="212" t="str">
        <x:v>风险 / 限制</x:v>
      </x:c>
      <x:c r="L4" s="212" t="str">
        <x:v>适配结论</x:v>
      </x:c>
      <x:c r="M4" s="212" t="str">
        <x:v>证据置信</x:v>
      </x:c>
      <x:c r="N4" s="212" t="str">
        <x:v>状态</x:v>
      </x:c>
    </x:row>
    <x:row r="5" ht="61.5" customHeight="1">
      <x:c r="A5" s="227" t="str">
        <x:v>商品图已嵌入</x:v>
      </x:c>
      <x:c r="B5" s="217" t="str">
        <x:v>主控</x:v>
      </x:c>
      <x:c r="C5" s="217" t="str">
        <x:v>V0</x:v>
      </x:c>
      <x:c r="D5" s="217" t="str">
        <x:v>FireBeetle 2 ESP32-S3 N4</x:v>
      </x:c>
      <x:c r="E5" s="217" t="str">
        <x:v>开发板</x:v>
      </x:c>
      <x:c r="F5" s="217" t="str">
        <x:v>SPI/UART/BLE/Wi-Fi</x:v>
      </x:c>
      <x:c r="G5" s="217" t="str">
        <x:v>ESP32-S3；4MB Flash；板载充电</x:v>
      </x:c>
      <x:c r="H5" s="221" t="n">
        <x:v>69</x:v>
      </x:c>
      <x:c r="I5" s="231" t="str">
        <x:v>https://item.taobao.com/item.htm?id=788239064657</x:v>
      </x:c>
      <x:c r="J5" s="217" t="str">
        <x:v>接口比超小板方便，功耗和尺寸适中</x:v>
      </x:c>
      <x:c r="K5" s="217" t="str">
        <x:v>仍有开发板冗余；量产需自研板</x:v>
      </x:c>
      <x:c r="L5" s="217" t="str">
        <x:v>首轮主控</x:v>
      </x:c>
      <x:c r="M5" s="217" t="str">
        <x:v>高</x:v>
      </x:c>
      <x:c r="N5" s="217" t="str">
        <x:v>首选</x:v>
      </x:c>
    </x:row>
    <x:row r="6" ht="61.5" customHeight="1">
      <x:c r="A6" s="227" t="str">
        <x:v>—</x:v>
      </x:c>
      <x:c r="B6" s="217" t="str">
        <x:v>主控</x:v>
      </x:c>
      <x:c r="C6" s="217" t="str">
        <x:v>V0备选</x:v>
      </x:c>
      <x:c r="D6" s="217" t="str">
        <x:v>FireBeetle 2 ESP32-S3-U N16R8</x:v>
      </x:c>
      <x:c r="E6" s="217" t="str">
        <x:v>开发板</x:v>
      </x:c>
      <x:c r="F6" s="217" t="str">
        <x:v>SPI/UART/BLE/Wi-Fi</x:v>
      </x:c>
      <x:c r="G6" s="217" t="str">
        <x:v>16MB Flash + 8MB PSRAM；外置天线版</x:v>
      </x:c>
      <x:c r="H6" s="221" t="n">
        <x:v>125</x:v>
      </x:c>
      <x:c r="I6" s="231" t="str">
        <x:v>https://item.taobao.com/item.htm?id=713291484809</x:v>
      </x:c>
      <x:c r="J6" s="217" t="str">
        <x:v>资源更大，便于复杂缓存/算法</x:v>
      </x:c>
      <x:c r="K6" s="217" t="str">
        <x:v>V0 用不到多数 PSRAM，成本更高</x:v>
      </x:c>
      <x:c r="L6" s="217" t="str">
        <x:v>需要大缓存时再选</x:v>
      </x:c>
      <x:c r="M6" s="217" t="str">
        <x:v>中</x:v>
      </x:c>
      <x:c r="N6" s="217" t="str">
        <x:v>备选</x:v>
      </x:c>
    </x:row>
    <x:row r="7" ht="61.5" customHeight="1">
      <x:c r="A7" s="227" t="str">
        <x:v>—</x:v>
      </x:c>
      <x:c r="B7" s="217" t="str">
        <x:v>主控</x:v>
      </x:c>
      <x:c r="C7" s="217" t="str">
        <x:v>台架</x:v>
      </x:c>
      <x:c r="D7" s="217" t="str">
        <x:v>ESP32-S3-DevKitC-1</x:v>
      </x:c>
      <x:c r="E7" s="217" t="str">
        <x:v>标准开发板</x:v>
      </x:c>
      <x:c r="F7" s="217" t="str">
        <x:v>SPI/UART/BLE/Wi-Fi</x:v>
      </x:c>
      <x:c r="G7" s="217" t="str">
        <x:v>引脚最全；尺寸偏大</x:v>
      </x:c>
      <x:c r="H7" s="221" t="n">
        <x:v>99</x:v>
      </x:c>
      <x:c r="I7" s="231" t="str">
        <x:v>https://item.taobao.com/item.htm?id=653155344338</x:v>
      </x:c>
      <x:c r="J7" s="217" t="str">
        <x:v>接线/调试最方便</x:v>
      </x:c>
      <x:c r="K7" s="217" t="str">
        <x:v>不适合直接穿戴</x:v>
      </x:c>
      <x:c r="L7" s="217" t="str">
        <x:v>桌面联调板</x:v>
      </x:c>
      <x:c r="M7" s="217" t="str">
        <x:v>中</x:v>
      </x:c>
      <x:c r="N7" s="217" t="str">
        <x:v>对照</x:v>
      </x:c>
    </x:row>
    <x:row r="8" ht="61.5" customHeight="1">
      <x:c r="A8" s="227" t="str">
        <x:v>商品图已嵌入</x:v>
      </x:c>
      <x:c r="B8" s="217" t="str">
        <x:v>定位</x:v>
      </x:c>
      <x:c r="C8" s="217" t="str">
        <x:v>V0</x:v>
      </x:c>
      <x:c r="D8" s="217" t="str">
        <x:v>UM620 双频板 + 天线</x:v>
      </x:c>
      <x:c r="E8" s="217" t="str">
        <x:v>GNSS 开发板</x:v>
      </x:c>
      <x:c r="F8" s="217" t="str">
        <x:v>UART + 1PPS</x:v>
      </x:c>
      <x:c r="G8" s="217" t="str">
        <x:v>L1+L5；10Hz；约1.5m CEP；0.05m/s速度</x:v>
      </x:c>
      <x:c r="H8" s="221" t="n">
        <x:v>94.8</x:v>
      </x:c>
      <x:c r="I8" s="231" t="str">
        <x:v>https://item.taobao.com/item.htm?id=1042369620858</x:v>
      </x:c>
      <x:c r="J8" s="217" t="str">
        <x:v>双频、PPS、价格均衡</x:v>
      </x:c>
      <x:c r="K8" s="217" t="str">
        <x:v>实际精度高度依赖天线与遮挡</x:v>
      </x:c>
      <x:c r="L8" s="217" t="str">
        <x:v>运动轨迹首选</x:v>
      </x:c>
      <x:c r="M8" s="217" t="str">
        <x:v>高</x:v>
      </x:c>
      <x:c r="N8" s="217" t="str">
        <x:v>首选</x:v>
      </x:c>
    </x:row>
    <x:row r="9" ht="61.5" customHeight="1">
      <x:c r="A9" s="227" t="str">
        <x:v>商品图已嵌入</x:v>
      </x:c>
      <x:c r="B9" s="217" t="str">
        <x:v>定位</x:v>
      </x:c>
      <x:c r="C9" s="217" t="str">
        <x:v>对照</x:v>
      </x:c>
      <x:c r="D9" s="217" t="str">
        <x:v>大夏龙雀 DX-GP21</x:v>
      </x:c>
      <x:c r="E9" s="217" t="str">
        <x:v>GNSS 开发板</x:v>
      </x:c>
      <x:c r="F9" s="217" t="str">
        <x:v>UART</x:v>
      </x:c>
      <x:c r="G9" s="217" t="str">
        <x:v>ATGM336H-F8N76；L1+L5；最高10Hz</x:v>
      </x:c>
      <x:c r="H9" s="221" t="n">
        <x:v>23.9</x:v>
      </x:c>
      <x:c r="I9" s="231" t="str">
        <x:v>https://detail.tmall.com/item.htm?id=808867563531</x:v>
      </x:c>
      <x:c r="J9" s="217" t="str">
        <x:v>极低成本双频功能验证</x:v>
      </x:c>
      <x:c r="K9" s="217" t="str">
        <x:v>常见小板无 PPS；板卡资料要逐 SKU 核对</x:v>
      </x:c>
      <x:c r="L9" s="217" t="str">
        <x:v>低成本定位对照</x:v>
      </x:c>
      <x:c r="M9" s="217" t="str">
        <x:v>中</x:v>
      </x:c>
      <x:c r="N9" s="217" t="str">
        <x:v>对照</x:v>
      </x:c>
    </x:row>
    <x:row r="10" ht="61.5" customHeight="1">
      <x:c r="A10" s="227" t="str">
        <x:v>商品图已嵌入</x:v>
      </x:c>
      <x:c r="B10" s="217" t="str">
        <x:v>定位</x:v>
      </x:c>
      <x:c r="C10" s="217" t="str">
        <x:v>V1</x:v>
      </x:c>
      <x:c r="D10" s="217" t="str">
        <x:v>移远 LC29HEA RTK 漫游板</x:v>
      </x:c>
      <x:c r="E10" s="217" t="str">
        <x:v>RTK 开发板</x:v>
      </x:c>
      <x:c r="F10" s="217" t="str">
        <x:v>UART + PPS</x:v>
      </x:c>
      <x:c r="G10" s="217" t="str">
        <x:v>双频 RTK；10Hz；需基站/NTRIP</x:v>
      </x:c>
      <x:c r="H10" s="221" t="n">
        <x:v>154.8</x:v>
      </x:c>
      <x:c r="I10" s="231" t="str">
        <x:v>https://item.taobao.com/item.htm?id=777579561431</x:v>
      </x:c>
      <x:c r="J10" s="217" t="str">
        <x:v>具备厘米级 RTK 路径</x:v>
      </x:c>
      <x:c r="K10" s="217" t="str">
        <x:v>无差分改正数时不是厘米级；系统复杂</x:v>
      </x:c>
      <x:c r="L10" s="217" t="str">
        <x:v>V1 高精度实验</x:v>
      </x:c>
      <x:c r="M10" s="217" t="str">
        <x:v>高</x:v>
      </x:c>
      <x:c r="N10" s="217" t="str">
        <x:v>暂缓</x:v>
      </x:c>
    </x:row>
    <x:row r="11" ht="61.5" customHeight="1">
      <x:c r="A11" s="227" t="str">
        <x:v>商品图已嵌入</x:v>
      </x:c>
      <x:c r="B11" s="217" t="str">
        <x:v>定位</x:v>
      </x:c>
      <x:c r="C11" s="217" t="str">
        <x:v>V1</x:v>
      </x:c>
      <x:c r="D11" s="217" t="str">
        <x:v>移远 LG290P 全频 RTK 板</x:v>
      </x:c>
      <x:c r="E11" s="217" t="str">
        <x:v>RTK 开发板</x:v>
      </x:c>
      <x:c r="F11" s="217" t="str">
        <x:v>UART + PPS</x:v>
      </x:c>
      <x:c r="G11" s="217" t="str">
        <x:v>四频；最高20Hz；需基站/NTRIP</x:v>
      </x:c>
      <x:c r="H11" s="221" t="n">
        <x:v>419.8</x:v>
      </x:c>
      <x:c r="I11" s="231" t="str">
        <x:v>https://item.taobao.com/item.htm?id=777579561431</x:v>
      </x:c>
      <x:c r="J11" s="217" t="str">
        <x:v>频段与速率余量最大</x:v>
      </x:c>
      <x:c r="K11" s="217" t="str">
        <x:v>成本、功耗、天线与改正链路复杂</x:v>
      </x:c>
      <x:c r="L11" s="217" t="str">
        <x:v>仅高精度研究</x:v>
      </x:c>
      <x:c r="M11" s="217" t="str">
        <x:v>高</x:v>
      </x:c>
      <x:c r="N11" s="217" t="str">
        <x:v>暂缓</x:v>
      </x:c>
    </x:row>
    <x:row r="12" ht="61.5" customHeight="1">
      <x:c r="A12" s="227" t="str">
        <x:v>商品图已嵌入</x:v>
      </x:c>
      <x:c r="B12" s="217" t="str">
        <x:v>IMU</x:v>
      </x:c>
      <x:c r="C12" s="217" t="str">
        <x:v>V0</x:v>
      </x:c>
      <x:c r="D12" s="217" t="str">
        <x:v>ICM-42688-P 模块</x:v>
      </x:c>
      <x:c r="E12" s="217" t="str">
        <x:v>六轴原始 IMU 板</x:v>
      </x:c>
      <x:c r="F12" s="217" t="str">
        <x:v>SPI/I²C + INT</x:v>
      </x:c>
      <x:c r="G12" s="217" t="str">
        <x:v>±16g；±2000dps；FIFO；建议400Hz</x:v>
      </x:c>
      <x:c r="H12" s="221" t="n">
        <x:v>85</x:v>
      </x:c>
      <x:c r="I12" s="231" t="str">
        <x:v>https://item.taobao.com/item.htm?id=824324354383</x:v>
      </x:c>
      <x:c r="J12" s="217" t="str">
        <x:v>成熟、数据可控、适合算法</x:v>
      </x:c>
      <x:c r="K12" s="217" t="str">
        <x:v>强碰撞可能触发 ±16g 饱和</x:v>
      </x:c>
      <x:c r="L12" s="217" t="str">
        <x:v>主数据源</x:v>
      </x:c>
      <x:c r="M12" s="217" t="str">
        <x:v>高</x:v>
      </x:c>
      <x:c r="N12" s="217" t="str">
        <x:v>首选</x:v>
      </x:c>
    </x:row>
    <x:row r="13" ht="61.5" customHeight="1">
      <x:c r="A13" s="227" t="str">
        <x:v>商品图已嵌入</x:v>
      </x:c>
      <x:c r="B13" s="217" t="str">
        <x:v>IMU</x:v>
      </x:c>
      <x:c r="C13" s="217" t="str">
        <x:v>对照</x:v>
      </x:c>
      <x:c r="D13" s="217" t="str">
        <x:v>ICM-45686 模块</x:v>
      </x:c>
      <x:c r="E13" s="217" t="str">
        <x:v>高量程六轴板</x:v>
      </x:c>
      <x:c r="F13" s="217" t="str">
        <x:v>SPI/I²C/I3C*</x:v>
      </x:c>
      <x:c r="G13" s="217" t="str">
        <x:v>最高±32g；±4000dps；高分辨率 FIFO</x:v>
      </x:c>
      <x:c r="H13" s="221" t="n">
        <x:v>85</x:v>
      </x:c>
      <x:c r="I13" s="231" t="str">
        <x:v>https://item.taobao.com/item.htm?id=844676198600</x:v>
      </x:c>
      <x:c r="J13" s="217" t="str">
        <x:v>高动态范围，适合冲击</x:v>
      </x:c>
      <x:c r="K13" s="217" t="str">
        <x:v>器件较新，驱动生态尚在积累</x:v>
      </x:c>
      <x:c r="L13" s="217" t="str">
        <x:v>高冲击升级候选</x:v>
      </x:c>
      <x:c r="M13" s="217" t="str">
        <x:v>中高</x:v>
      </x:c>
      <x:c r="N13" s="217" t="str">
        <x:v>对照</x:v>
      </x:c>
    </x:row>
    <x:row r="14" ht="61.5" customHeight="1">
      <x:c r="A14" s="227" t="str">
        <x:v>商品图已嵌入</x:v>
      </x:c>
      <x:c r="B14" s="217" t="str">
        <x:v>IMU</x:v>
      </x:c>
      <x:c r="C14" s="217" t="str">
        <x:v>对照</x:v>
      </x:c>
      <x:c r="D14" s="217" t="str">
        <x:v>BMI088 模块</x:v>
      </x:c>
      <x:c r="E14" s="217" t="str">
        <x:v>抗振六轴板</x:v>
      </x:c>
      <x:c r="F14" s="217" t="str">
        <x:v>SPI/I²C + INT</x:v>
      </x:c>
      <x:c r="G14" s="217" t="str">
        <x:v>±24g；±2000dps；高抗振</x:v>
      </x:c>
      <x:c r="H14" s="221" t="n">
        <x:v>70</x:v>
      </x:c>
      <x:c r="I14" s="231" t="str">
        <x:v>https://item.taobao.com/item.htm?id=974795061349</x:v>
      </x:c>
      <x:c r="J14" s="217" t="str">
        <x:v>抗振成熟，量程较大</x:v>
      </x:c>
      <x:c r="K14" s="217" t="str">
        <x:v>功耗较高，两个传感器需合并时间线</x:v>
      </x:c>
      <x:c r="L14" s="217" t="str">
        <x:v>抗振基准</x:v>
      </x:c>
      <x:c r="M14" s="217" t="str">
        <x:v>高</x:v>
      </x:c>
      <x:c r="N14" s="217" t="str">
        <x:v>对照</x:v>
      </x:c>
    </x:row>
    <x:row r="15" ht="61.5" customHeight="1">
      <x:c r="A15" s="227" t="str">
        <x:v>商品图已嵌入</x:v>
      </x:c>
      <x:c r="B15" s="217" t="str">
        <x:v>IMU</x:v>
      </x:c>
      <x:c r="C15" s="217" t="str">
        <x:v>演示</x:v>
      </x:c>
      <x:c r="D15" s="217" t="str">
        <x:v>维特 WTi-603C</x:v>
      </x:c>
      <x:c r="E15" s="217" t="str">
        <x:v>成品姿态模块</x:v>
      </x:c>
      <x:c r="F15" s="217" t="str">
        <x:v>UART/USB/CAN*</x:v>
      </x:c>
      <x:c r="G15" s="217" t="str">
        <x:v>卖家标称1000Hz；内置滤波/姿态</x:v>
      </x:c>
      <x:c r="H15" s="221" t="n">
        <x:v>175</x:v>
      </x:c>
      <x:c r="I15" s="231" t="str">
        <x:v>https://detail.tmall.com/item.htm?id=1077522192727</x:v>
      </x:c>
      <x:c r="J15" s="217" t="str">
        <x:v>接入快、工具和协议完整</x:v>
      </x:c>
      <x:c r="K15" s="217" t="str">
        <x:v>内部延迟/滤波不可完全控制</x:v>
      </x:c>
      <x:c r="L15" s="217" t="str">
        <x:v>只作快速演示对照</x:v>
      </x:c>
      <x:c r="M15" s="217" t="str">
        <x:v>中</x:v>
      </x:c>
      <x:c r="N15" s="217" t="str">
        <x:v>对照</x:v>
      </x:c>
    </x:row>
    <x:row r="16" ht="61.5" customHeight="1">
      <x:c r="A16" s="227" t="str">
        <x:v>商品图已嵌入</x:v>
      </x:c>
      <x:c r="B16" s="217" t="str">
        <x:v>心率</x:v>
      </x:c>
      <x:c r="C16" s="217" t="str">
        <x:v>V0</x:v>
      </x:c>
      <x:c r="D16" s="217" t="str">
        <x:v>Magene H303 胸带</x:v>
      </x:c>
      <x:c r="E16" s="217" t="str">
        <x:v>ECG 胸带</x:v>
      </x:c>
      <x:c r="F16" s="217" t="str">
        <x:v>BLE HRS / ANT+</x:v>
      </x:c>
      <x:c r="G16" s="217" t="str">
        <x:v>标准心率服务；纽扣电池</x:v>
      </x:c>
      <x:c r="H16" s="221" t="n">
        <x:v>69.9</x:v>
      </x:c>
      <x:c r="I16" s="231" t="str">
        <x:v>https://item.taobao.com/item.htm?id=1049029613702</x:v>
      </x:c>
      <x:c r="J16" s="217" t="str">
        <x:v>低价且 ESP32 可按标准 BLE 解析</x:v>
      </x:c>
      <x:c r="K16" s="217" t="str">
        <x:v>需实测是否稳定开放标准 HRS</x:v>
      </x:c>
      <x:c r="L16" s="217" t="str">
        <x:v>V0 心率首选</x:v>
      </x:c>
      <x:c r="M16" s="217" t="str">
        <x:v>中高</x:v>
      </x:c>
      <x:c r="N16" s="217" t="str">
        <x:v>首选</x:v>
      </x:c>
    </x:row>
    <x:row r="17" ht="61.5" customHeight="1">
      <x:c r="A17" s="227" t="str">
        <x:v>—</x:v>
      </x:c>
      <x:c r="B17" s="217" t="str">
        <x:v>心率</x:v>
      </x:c>
      <x:c r="C17" s="217" t="str">
        <x:v>参考</x:v>
      </x:c>
      <x:c r="D17" s="217" t="str">
        <x:v>Polar H10</x:v>
      </x:c>
      <x:c r="E17" s="217" t="str">
        <x:v>高质量 ECG 胸带</x:v>
      </x:c>
      <x:c r="F17" s="217" t="str">
        <x:v>BLE HRS / ANT+</x:v>
      </x:c>
      <x:c r="G17" s="217" t="str">
        <x:v>业内常用参考胸带；支持 RR 数据*</x:v>
      </x:c>
      <x:c r="H17" s="221" t="n">
        <x:v>889</x:v>
      </x:c>
      <x:c r="I17" s="231" t="str">
        <x:v>https://item.taobao.com/item.htm?id=40769842347</x:v>
      </x:c>
      <x:c r="J17" s="217" t="str">
        <x:v>信号质量和研究参考价值高</x:v>
      </x:c>
      <x:c r="K17" s="217" t="str">
        <x:v>价格远高于验证需求</x:v>
      </x:c>
      <x:c r="L17" s="217" t="str">
        <x:v>精度评估参考</x:v>
      </x:c>
      <x:c r="M17" s="217" t="str">
        <x:v>高</x:v>
      </x:c>
      <x:c r="N17" s="217" t="str">
        <x:v>备选</x:v>
      </x:c>
    </x:row>
    <x:row r="18" ht="61.5" customHeight="1">
      <x:c r="A18" s="227" t="str">
        <x:v>—</x:v>
      </x:c>
      <x:c r="B18" s="217" t="str">
        <x:v>心率</x:v>
      </x:c>
      <x:c r="C18" s="217" t="str">
        <x:v>参考</x:v>
      </x:c>
      <x:c r="D18" s="217" t="str">
        <x:v>BigRun 胸带</x:v>
      </x:c>
      <x:c r="E18" s="217" t="str">
        <x:v>ECG 胸带</x:v>
      </x:c>
      <x:c r="F18" s="217" t="str">
        <x:v>BLE/ANT+*</x:v>
      </x:c>
      <x:c r="G18" s="217" t="str">
        <x:v>具体协议以 SKU 为准</x:v>
      </x:c>
      <x:c r="H18" s="221" t="n">
        <x:v>342</x:v>
      </x:c>
      <x:c r="I18" s="231" t="str">
        <x:v>https://item.taobao.com/item.htm?id=671711095516</x:v>
      </x:c>
      <x:c r="J18" s="217" t="str">
        <x:v>本地品牌备选</x:v>
      </x:c>
      <x:c r="K18" s="217" t="str">
        <x:v>标准服务和 RR 输出需向卖家确认</x:v>
      </x:c>
      <x:c r="L18" s="217" t="str">
        <x:v>无明显 V0 优势</x:v>
      </x:c>
      <x:c r="M18" s="217" t="str">
        <x:v>低中</x:v>
      </x:c>
      <x:c r="N18" s="217" t="str">
        <x:v>不建议</x:v>
      </x:c>
    </x:row>
    <x:row r="19" ht="61.5" customHeight="1">
      <x:c r="A19" s="227" t="str">
        <x:v>—</x:v>
      </x:c>
      <x:c r="B19" s="217" t="str">
        <x:v>存储</x:v>
      </x:c>
      <x:c r="C19" s="217" t="str">
        <x:v>V0</x:v>
      </x:c>
      <x:c r="D19" s="217" t="str">
        <x:v>Waveshare MicroSD 模块</x:v>
      </x:c>
      <x:c r="E19" s="217" t="str">
        <x:v>SPI TF 转接板</x:v>
      </x:c>
      <x:c r="F19" s="217" t="str">
        <x:v>SPI</x:v>
      </x:c>
      <x:c r="G19" s="217" t="str">
        <x:v>板上电源/电平适配；品牌资料较清晰</x:v>
      </x:c>
      <x:c r="H19" s="221" t="n">
        <x:v>18.72</x:v>
      </x:c>
      <x:c r="I19" s="231" t="str">
        <x:v>https://item.taobao.com/item.htm?id=12358178476</x:v>
      </x:c>
      <x:c r="J19" s="217" t="str">
        <x:v>比通用小板可追溯性好</x:v>
      </x:c>
      <x:c r="K19" s="217" t="str">
        <x:v>仍需确认 3.3V 逻辑与共享 SPI 行为</x:v>
      </x:c>
      <x:c r="L19" s="217" t="str">
        <x:v>V0 存储模块</x:v>
      </x:c>
      <x:c r="M19" s="217" t="str">
        <x:v>中高</x:v>
      </x:c>
      <x:c r="N19" s="217" t="str">
        <x:v>首选</x:v>
      </x:c>
    </x:row>
    <x:row r="20" ht="61.5" customHeight="1">
      <x:c r="A20" s="227" t="str">
        <x:v>—</x:v>
      </x:c>
      <x:c r="B20" s="217" t="str">
        <x:v>存储</x:v>
      </x:c>
      <x:c r="C20" s="217" t="str">
        <x:v>台架</x:v>
      </x:c>
      <x:c r="D20" s="217" t="str">
        <x:v>通用 3.3/5V TF 模块</x:v>
      </x:c>
      <x:c r="E20" s="217" t="str">
        <x:v>SPI TF 转接板</x:v>
      </x:c>
      <x:c r="F20" s="217" t="str">
        <x:v>SPI</x:v>
      </x:c>
      <x:c r="G20" s="217" t="str">
        <x:v>常见 AMS1117/电平转换版本</x:v>
      </x:c>
      <x:c r="H20" s="221" t="n">
        <x:v>2.5</x:v>
      </x:c>
      <x:c r="I20" s="231" t="str">
        <x:v>https://item.taobao.com/item.htm?id=658931223159</x:v>
      </x:c>
      <x:c r="J20" s="217" t="str">
        <x:v>便宜、易购</x:v>
      </x:c>
      <x:c r="K20" s="217" t="str">
        <x:v>设计版本混杂，速度和电平质量不一致</x:v>
      </x:c>
      <x:c r="L20" s="217" t="str">
        <x:v>台架冒烟测试</x:v>
      </x:c>
      <x:c r="M20" s="217" t="str">
        <x:v>中</x:v>
      </x:c>
      <x:c r="N20" s="217" t="str">
        <x:v>备选</x:v>
      </x:c>
    </x:row>
    <x:row r="21" ht="61.5" customHeight="1">
      <x:c r="A21" s="227" t="str">
        <x:v>—</x:v>
      </x:c>
      <x:c r="B21" s="217" t="str">
        <x:v>存储</x:v>
      </x:c>
      <x:c r="C21" s="217" t="str">
        <x:v>V0</x:v>
      </x:c>
      <x:c r="D21" s="217" t="str">
        <x:v>Lenovo 128GB V30 TF 卡</x:v>
      </x:c>
      <x:c r="E21" s="217" t="str">
        <x:v>存储卡</x:v>
      </x:c>
      <x:c r="F21" s="217" t="str">
        <x:v>SD</x:v>
      </x:c>
      <x:c r="G21" s="217" t="str">
        <x:v>128GB；V30</x:v>
      </x:c>
      <x:c r="H21" s="221" t="n">
        <x:v>36.95</x:v>
      </x:c>
      <x:c r="I21" s="231" t="str">
        <x:v>https://item.taobao.com/item.htm?id=714407773151</x:v>
      </x:c>
      <x:c r="J21" s="217" t="str">
        <x:v>容量充足，连续写入余量大</x:v>
      </x:c>
      <x:c r="K21" s="217" t="str">
        <x:v>需验真并做掉电/寿命测试</x:v>
      </x:c>
      <x:c r="L21" s="217" t="str">
        <x:v>首轮记录介质</x:v>
      </x:c>
      <x:c r="M21" s="217" t="str">
        <x:v>中</x:v>
      </x:c>
      <x:c r="N21" s="217" t="str">
        <x:v>首选</x:v>
      </x:c>
    </x:row>
    <x:row r="22" ht="61.5" customHeight="1">
      <x:c r="A22" s="227" t="str">
        <x:v>—</x:v>
      </x:c>
      <x:c r="B22" s="217" t="str">
        <x:v>4G</x:v>
      </x:c>
      <x:c r="C22" s="217" t="str">
        <x:v>V1</x:v>
      </x:c>
      <x:c r="D22" s="217" t="str">
        <x:v>移远 EC200U 开发板</x:v>
      </x:c>
      <x:c r="E22" s="217" t="str">
        <x:v>Cat.1 开发板</x:v>
      </x:c>
      <x:c r="F22" s="217" t="str">
        <x:v>UART/USB</x:v>
      </x:c>
      <x:c r="G22" s="217" t="str">
        <x:v>LTE Cat.1；GNSS 依版本；峰值电流高</x:v>
      </x:c>
      <x:c r="H22" s="221" t="n">
        <x:v>79</x:v>
      </x:c>
      <x:c r="I22" s="231" t="str">
        <x:v>https://item.taobao.com/item.htm?id=616741646122</x:v>
      </x:c>
      <x:c r="J22" s="217" t="str">
        <x:v>资料/AT 指令/国内生态成熟</x:v>
      </x:c>
      <x:c r="K22" s="217" t="str">
        <x:v>需要独立供电、SIM、天线和重连管理</x:v>
      </x:c>
      <x:c r="L22" s="217" t="str">
        <x:v>二阶段 UART 方案</x:v>
      </x:c>
      <x:c r="M22" s="217" t="str">
        <x:v>中高</x:v>
      </x:c>
      <x:c r="N22" s="217" t="str">
        <x:v>暂缓</x:v>
      </x:c>
    </x:row>
    <x:row r="23" ht="61.5" customHeight="1">
      <x:c r="A23" s="227" t="str">
        <x:v>—</x:v>
      </x:c>
      <x:c r="B23" s="217" t="str">
        <x:v>4G</x:v>
      </x:c>
      <x:c r="C23" s="217" t="str">
        <x:v>V1</x:v>
      </x:c>
      <x:c r="D23" s="217" t="str">
        <x:v>EG800AK / EG800Z 开发板</x:v>
      </x:c>
      <x:c r="E23" s="217" t="str">
        <x:v>Cat.1 bis 开发板</x:v>
      </x:c>
      <x:c r="F23" s="217" t="str">
        <x:v>UART/USB</x:v>
      </x:c>
      <x:c r="G23" s="217" t="str">
        <x:v>低成本 Cat.1 bis；GNSS 依 SKU</x:v>
      </x:c>
      <x:c r="H23" s="221" t="n">
        <x:v>33.5</x:v>
      </x:c>
      <x:c r="I23" s="231" t="str">
        <x:v>https://item.taobao.com/item.htm?id=930474698086</x:v>
      </x:c>
      <x:c r="J23" s="217" t="str">
        <x:v>价格低</x:v>
      </x:c>
      <x:c r="K23" s="217" t="str">
        <x:v>卖家板卡和固件版本差异要核实</x:v>
      </x:c>
      <x:c r="L23" s="217" t="str">
        <x:v>低成本二阶段候选</x:v>
      </x:c>
      <x:c r="M23" s="217" t="str">
        <x:v>中</x:v>
      </x:c>
      <x:c r="N23" s="217" t="str">
        <x:v>备选</x:v>
      </x:c>
    </x:row>
    <x:row r="24" ht="61.5" customHeight="1">
      <x:c r="A24" s="227" t="str">
        <x:v>—</x:v>
      </x:c>
      <x:c r="B24" s="217" t="str">
        <x:v>4G</x:v>
      </x:c>
      <x:c r="C24" s="217" t="str">
        <x:v>V1</x:v>
      </x:c>
      <x:c r="D24" s="217" t="str">
        <x:v>Waveshare ESP32-S3 + A7670E</x:v>
      </x:c>
      <x:c r="E24" s="217" t="str">
        <x:v>一体开发板</x:v>
      </x:c>
      <x:c r="F24" s="217" t="str">
        <x:v>板内 UART</x:v>
      </x:c>
      <x:c r="G24" s="217" t="str">
        <x:v>ESP32-S3 + 4G + GNSS*</x:v>
      </x:c>
      <x:c r="H24" s="221" t="n">
        <x:v>253</x:v>
      </x:c>
      <x:c r="I24" s="231" t="str">
        <x:v>https://item.taobao.com/item.htm?id=766221604881</x:v>
      </x:c>
      <x:c r="J24" s="217" t="str">
        <x:v>一块板快速验证蜂窝上传</x:v>
      </x:c>
      <x:c r="K24" s="217" t="str">
        <x:v>尺寸/冗余/功耗不适合穿戴，GNSS非运动定位优先方案</x:v>
      </x:c>
      <x:c r="L24" s="217" t="str">
        <x:v>只适合蜂窝台架</x:v>
      </x:c>
      <x:c r="M24" s="217" t="str">
        <x:v>高</x:v>
      </x:c>
      <x:c r="N24" s="217" t="str">
        <x:v>不建议</x:v>
      </x:c>
    </x:row>
    <x:row r="25" ht="61.5" customHeight="1">
      <x:c r="A25" s="227" t="str">
        <x:v>—</x:v>
      </x:c>
      <x:c r="B25" s="217" t="str">
        <x:v>4G</x:v>
      </x:c>
      <x:c r="C25" s="217" t="str">
        <x:v>V1</x:v>
      </x:c>
      <x:c r="D25" s="217" t="str">
        <x:v>LILYGO T-A7670E</x:v>
      </x:c>
      <x:c r="E25" s="217" t="str">
        <x:v>一体开发板</x:v>
      </x:c>
      <x:c r="F25" s="217" t="str">
        <x:v>板内 UART</x:v>
      </x:c>
      <x:c r="G25" s="217" t="str">
        <x:v>ESP32 + 4G + GNSS*；社区项目多</x:v>
      </x:c>
      <x:c r="H25" s="221" t="n">
        <x:v>210.11</x:v>
      </x:c>
      <x:c r="I25" s="231" t="str">
        <x:v>https://item.taobao.com/item.htm?id=750156044129</x:v>
      </x:c>
      <x:c r="J25" s="217" t="str">
        <x:v>样例多，快速联网</x:v>
      </x:c>
      <x:c r="K25" s="217" t="str">
        <x:v>穿戴体积与电源仍不理想</x:v>
      </x:c>
      <x:c r="L25" s="217" t="str">
        <x:v>蜂窝功能对照</x:v>
      </x:c>
      <x:c r="M25" s="217" t="str">
        <x:v>中高</x:v>
      </x:c>
      <x:c r="N25" s="217" t="str">
        <x:v>暂缓</x:v>
      </x:c>
    </x:row>
    <x:row r="26" ht="61.5" customHeight="1">
      <x:c r="A26" s="227" t="str">
        <x:v>—</x:v>
      </x:c>
      <x:c r="B26" s="217" t="str">
        <x:v>电源</x:v>
      </x:c>
      <x:c r="C26" s="217" t="str">
        <x:v>V0</x:v>
      </x:c>
      <x:c r="D26" s="217" t="str">
        <x:v>3.7V 2000mAh 保护板锂电</x:v>
      </x:c>
      <x:c r="E26" s="217" t="str">
        <x:v>软包电池</x:v>
      </x:c>
      <x:c r="F26" s="217" t="str">
        <x:v>JST/PH2.0*</x:v>
      </x:c>
      <x:c r="G26" s="217" t="str">
        <x:v>标称2000mAh；带保护板</x:v>
      </x:c>
      <x:c r="H26" s="221" t="n">
        <x:v>10.8</x:v>
      </x:c>
      <x:c r="I26" s="231" t="str">
        <x:v>https://item.taobao.com/item.htm?id=584934447777</x:v>
      </x:c>
      <x:c r="J26" s="217" t="str">
        <x:v>便宜、FireBeetle 可充电</x:v>
      </x:c>
      <x:c r="K26" s="217" t="str">
        <x:v>容量、极性、认证、膨胀和短路保护必须实测</x:v>
      </x:c>
      <x:c r="L26" s="217" t="str">
        <x:v>买 4 块做筛选</x:v>
      </x:c>
      <x:c r="M26" s="217" t="str">
        <x:v>中</x:v>
      </x:c>
      <x:c r="N26" s="217" t="str">
        <x:v>首选</x:v>
      </x:c>
    </x:row>
    <x:row r="27" ht="61.5" customHeight="1">
      <x:c r="A27" s="227" t="str">
        <x:v>—</x:v>
      </x:c>
      <x:c r="B27" s="217" t="str">
        <x:v>电源</x:v>
      </x:c>
      <x:c r="C27" s="217" t="str">
        <x:v>备选</x:v>
      </x:c>
      <x:c r="D27" s="217" t="str">
        <x:v>3.7V 2000mAh 替代电池</x:v>
      </x:c>
      <x:c r="E27" s="217" t="str">
        <x:v>软包电池</x:v>
      </x:c>
      <x:c r="F27" s="217" t="str">
        <x:v>按 SKU</x:v>
      </x:c>
      <x:c r="G27" s="217" t="str">
        <x:v>标称2000mAh</x:v>
      </x:c>
      <x:c r="H27" s="221" t="n">
        <x:v>6.9</x:v>
      </x:c>
      <x:c r="I27" s="231" t="str">
        <x:v>https://item.taobao.com/item.htm?id=970265697904</x:v>
      </x:c>
      <x:c r="J27" s="217" t="str">
        <x:v>更低价格</x:v>
      </x:c>
      <x:c r="K27" s="217" t="str">
        <x:v>一致性和认证信息不明确</x:v>
      </x:c>
      <x:c r="L27" s="217" t="str">
        <x:v>只作容量对照</x:v>
      </x:c>
      <x:c r="M27" s="217" t="str">
        <x:v>低中</x:v>
      </x:c>
      <x:c r="N27" s="217" t="str">
        <x:v>备选</x:v>
      </x:c>
    </x:row>
    <x:row r="28" ht="61.5" customHeight="1">
      <x:c r="A28" s="227" t="str">
        <x:v>—</x:v>
      </x:c>
      <x:c r="B28" s="217" t="str">
        <x:v>天线</x:v>
      </x:c>
      <x:c r="C28" s="217" t="str">
        <x:v>V1</x:v>
      </x:c>
      <x:c r="D28" s="217" t="str">
        <x:v>L1/L2/L5 有源 GNSS 天线</x:v>
      </x:c>
      <x:c r="E28" s="217" t="str">
        <x:v>外置有源天线</x:v>
      </x:c>
      <x:c r="F28" s="217" t="str">
        <x:v>IPEX/SMA*</x:v>
      </x:c>
      <x:c r="G28" s="217" t="str">
        <x:v>多频；接口与馈电需核对</x:v>
      </x:c>
      <x:c r="H28" s="221" t="n">
        <x:v>101</x:v>
      </x:c>
      <x:c r="I28" s="231" t="str">
        <x:v>https://item.taobao.com/item.htm?id=736363716649</x:v>
      </x:c>
      <x:c r="J28" s="217" t="str">
        <x:v>适配多频/RTK 研究</x:v>
      </x:c>
      <x:c r="K28" s="217" t="str">
        <x:v>尺寸大；接头、增益、馈电不匹配会变差</x:v>
      </x:c>
      <x:c r="L28" s="217" t="str">
        <x:v>UM620 先用随板天线</x:v>
      </x:c>
      <x:c r="M28" s="217" t="str">
        <x:v>中</x:v>
      </x:c>
      <x:c r="N28" s="217" t="str">
        <x:v>暂缓</x:v>
      </x:c>
    </x:row>
    <x:row r="29" ht="61.5" customHeight="1">
      <x:c r="A29" s="227" t="str">
        <x:v>—</x:v>
      </x:c>
      <x:c r="B29" s="217" t="str">
        <x:v>天线</x:v>
      </x:c>
      <x:c r="C29" s="217" t="str">
        <x:v>V1</x:v>
      </x:c>
      <x:c r="D29" s="217" t="str">
        <x:v>LTE 全频段天线</x:v>
      </x:c>
      <x:c r="E29" s="217" t="str">
        <x:v>FPC/胶棒天线</x:v>
      </x:c>
      <x:c r="F29" s="217" t="str">
        <x:v>IPEX/SMA*</x:v>
      </x:c>
      <x:c r="G29" s="217" t="str">
        <x:v>LTE 全频段；具体增益依 SKU</x:v>
      </x:c>
      <x:c r="H29" s="221" t="n">
        <x:v>2.5</x:v>
      </x:c>
      <x:c r="I29" s="231" t="str">
        <x:v>https://item.taobao.com/item.htm?id=1048886088763</x:v>
      </x:c>
      <x:c r="J29" s="217" t="str">
        <x:v>成本低</x:v>
      </x:c>
      <x:c r="K29" s="217" t="str">
        <x:v>人体贴近、走线和地平面显著影响性能</x:v>
      </x:c>
      <x:c r="L29" s="217" t="str">
        <x:v>随 4G 阶段验证</x:v>
      </x:c>
      <x:c r="M29" s="217" t="str">
        <x:v>中</x:v>
      </x:c>
      <x:c r="N29" s="217" t="str">
        <x:v>暂缓</x:v>
      </x:c>
    </x:row>
    <x:row r="30" ht="61.5" customHeight="1">
      <x:c r="A30" s="227" t="str">
        <x:v>商品图已嵌入</x:v>
      </x:c>
      <x:c r="B30" s="217" t="str">
        <x:v>背心</x:v>
      </x:c>
      <x:c r="C30" s="217" t="str">
        <x:v>V0</x:v>
      </x:c>
      <x:c r="D30" s="217" t="str">
        <x:v>CSSIT GPS/心率口袋背心</x:v>
      </x:c>
      <x:c r="E30" s="217" t="str">
        <x:v>后背设备仓背心</x:v>
      </x:c>
      <x:c r="F30" s="217" t="str">
        <x:v>机械安装</x:v>
      </x:c>
      <x:c r="G30" s="217" t="str">
        <x:v>弹力面料；后背口袋</x:v>
      </x:c>
      <x:c r="H30" s="221" t="n">
        <x:v>59.8</x:v>
      </x:c>
      <x:c r="I30" s="231" t="str">
        <x:v>https://item.taobao.com/item.htm?id=848915824085</x:v>
      </x:c>
      <x:c r="J30" s="217" t="str">
        <x:v>无需先做纺织结构</x:v>
      </x:c>
      <x:c r="K30" s="217" t="str">
        <x:v>晃动、防汗、开口和尺寸需实穿</x:v>
      </x:c>
      <x:c r="L30" s="217" t="str">
        <x:v>首轮载体</x:v>
      </x:c>
      <x:c r="M30" s="217" t="str">
        <x:v>中</x:v>
      </x:c>
      <x:c r="N30" s="217" t="str">
        <x:v>首选</x:v>
      </x:c>
    </x:row>
    <x:row r="31" ht="61.5" customHeight="1">
      <x:c r="A31" s="227" t="str">
        <x:v>商品图已嵌入</x:v>
      </x:c>
      <x:c r="B31" s="217" t="str">
        <x:v>背心</x:v>
      </x:c>
      <x:c r="C31" s="217" t="str">
        <x:v>备选</x:v>
      </x:c>
      <x:c r="D31" s="217" t="str">
        <x:v>GAIATY GPS 背心</x:v>
      </x:c>
      <x:c r="E31" s="217" t="str">
        <x:v>后背设备仓背心</x:v>
      </x:c>
      <x:c r="F31" s="217" t="str">
        <x:v>机械安装</x:v>
      </x:c>
      <x:c r="G31" s="217" t="str">
        <x:v>足球训练款</x:v>
      </x:c>
      <x:c r="H31" s="221" t="n">
        <x:v>56.8</x:v>
      </x:c>
      <x:c r="I31" s="231" t="str">
        <x:v>https://item.taobao.com/item.htm?id=851293826020</x:v>
      </x:c>
      <x:c r="J31" s="217" t="str">
        <x:v>同价位可比较版型</x:v>
      </x:c>
      <x:c r="K31" s="217" t="str">
        <x:v>尺码和口袋固定方式需实物确认</x:v>
      </x:c>
      <x:c r="L31" s="217" t="str">
        <x:v>并购 1 件比较舒适度</x:v>
      </x:c>
      <x:c r="M31" s="217" t="str">
        <x:v>中</x:v>
      </x:c>
      <x:c r="N31" s="217" t="str">
        <x:v>备选</x:v>
      </x:c>
    </x:row>
    <x:row r="32" ht="61.5" customHeight="1">
      <x:c r="A32" s="228" t="str">
        <x:v>商品图已嵌入</x:v>
      </x:c>
      <x:c r="B32" s="218" t="str">
        <x:v>背心</x:v>
      </x:c>
      <x:c r="C32" s="218" t="str">
        <x:v>备选</x:v>
      </x:c>
      <x:c r="D32" s="218" t="str">
        <x:v>通用 GPS 口袋背心</x:v>
      </x:c>
      <x:c r="E32" s="218" t="str">
        <x:v>后背设备仓背心</x:v>
      </x:c>
      <x:c r="F32" s="218" t="str">
        <x:v>机械安装</x:v>
      </x:c>
      <x:c r="G32" s="218" t="str">
        <x:v>通用训练款</x:v>
      </x:c>
      <x:c r="H32" s="222" t="n">
        <x:v>59.8</x:v>
      </x:c>
      <x:c r="I32" s="232" t="str">
        <x:v>https://item.taobao.com/item.htm?id=1012763716359</x:v>
      </x:c>
      <x:c r="J32" s="218" t="str">
        <x:v>容易替换</x:v>
      </x:c>
      <x:c r="K32" s="218" t="str">
        <x:v>商品批次与版型差异大</x:v>
      </x:c>
      <x:c r="L32" s="218" t="str">
        <x:v>只作结构对照</x:v>
      </x:c>
      <x:c r="M32" s="218" t="str">
        <x:v>低中</x:v>
      </x:c>
      <x:c r="N32" s="218" t="str">
        <x:v>备选</x:v>
      </x:c>
    </x:row>
  </x:sheetData>
  <x:mergeCells>
    <x:mergeCell ref="A1:N2"/>
    <x:mergeCell ref="A3:N3"/>
  </x:mergeCells>
  <x:conditionalFormatting sqref="N5:N32">
    <x:cfRule type="containsText" dxfId="10" priority="1" operator="containsText" text="首选"/>
    <x:cfRule type="containsText" dxfId="11" priority="2" operator="containsText" text="对照"/>
    <x:cfRule type="containsText" dxfId="12" priority="3" operator="containsText" text="备选"/>
    <x:cfRule type="containsText" dxfId="13" priority="4" operator="containsText" text="暂缓"/>
    <x:cfRule type="containsText" dxfId="14" priority="5" operator="containsText" text="不建议"/>
  </x:conditionalFormatting>
  <x:pageMargins left="0.7" right="0.7" top="0.75" bottom="0.75" header="0.3" footer="0.3"/>
  <x:drawing xmlns:r="http://schemas.openxmlformats.org/officeDocument/2006/relationships" r:id="Recbe50a06ec14b97"/>
  <x:tableParts count="1">
    <x:tablePart xmlns:r="http://schemas.openxmlformats.org/officeDocument/2006/relationships" r:id="Ra6d2a07a956644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9" hidden="0" customWidth="1"/>
    <x:col min="4" max="4" width="9" hidden="0" customWidth="1"/>
    <x:col min="5" max="5" width="12" hidden="0" customWidth="1"/>
    <x:col min="6" max="6" width="12" hidden="0" customWidth="1"/>
    <x:col min="7" max="7" width="13" hidden="0" customWidth="1"/>
    <x:col min="8" max="8" width="14" hidden="0" customWidth="1"/>
    <x:col min="9" max="9" width="15" hidden="0" customWidth="1"/>
    <x:col min="10" max="10" width="45" hidden="0" customWidth="1"/>
  </x:cols>
  <x:sheetData>
    <x:row r="1" ht="36" customHeight="1">
      <x:c r="A1" s="4" t="str">
        <x:v>首轮采购 BOM · 两套原型 + 对照件</x:v>
      </x:c>
      <x:c r="B1" s="4" t="str">
        <x:v>首轮采购 BOM · 两套原型 + 对照件</x:v>
      </x:c>
      <x:c r="C1" s="4" t="str">
        <x:v>首轮采购 BOM · 两套原型 + 对照件</x:v>
      </x:c>
      <x:c r="D1" s="4" t="str">
        <x:v>首轮采购 BOM · 两套原型 + 对照件</x:v>
      </x:c>
      <x:c r="E1" s="4" t="str">
        <x:v>首轮采购 BOM · 两套原型 + 对照件</x:v>
      </x:c>
      <x:c r="F1" s="4" t="str">
        <x:v>首轮采购 BOM · 两套原型 + 对照件</x:v>
      </x:c>
      <x:c r="G1" s="4" t="str">
        <x:v>首轮采购 BOM · 两套原型 + 对照件</x:v>
      </x:c>
      <x:c r="H1" s="4" t="str">
        <x:v>首轮采购 BOM · 两套原型 + 对照件</x:v>
      </x:c>
      <x:c r="I1" s="4" t="str">
        <x:v>首轮采购 BOM · 两套原型 + 对照件</x:v>
      </x:c>
      <x:c r="J1" s="4" t="str">
        <x:v>首轮采购 BOM · 两套原型 + 对照件</x:v>
      </x:c>
    </x:row>
    <x:row r="2" ht="36" customHeight="1">
      <x:c r="A2" s="4" t="str">
        <x:v>首轮采购 BOM · 两套原型 + 对照件</x:v>
      </x:c>
      <x:c r="B2" s="4" t="str">
        <x:v>首轮采购 BOM · 两套原型 + 对照件</x:v>
      </x:c>
      <x:c r="C2" s="4" t="str">
        <x:v>首轮采购 BOM · 两套原型 + 对照件</x:v>
      </x:c>
      <x:c r="D2" s="4" t="str">
        <x:v>首轮采购 BOM · 两套原型 + 对照件</x:v>
      </x:c>
      <x:c r="E2" s="4" t="str">
        <x:v>首轮采购 BOM · 两套原型 + 对照件</x:v>
      </x:c>
      <x:c r="F2" s="4" t="str">
        <x:v>首轮采购 BOM · 两套原型 + 对照件</x:v>
      </x:c>
      <x:c r="G2" s="4" t="str">
        <x:v>首轮采购 BOM · 两套原型 + 对照件</x:v>
      </x:c>
      <x:c r="H2" s="4" t="str">
        <x:v>首轮采购 BOM · 两套原型 + 对照件</x:v>
      </x:c>
      <x:c r="I2" s="4" t="str">
        <x:v>首轮采购 BOM · 两套原型 + 对照件</x:v>
      </x:c>
      <x:c r="J2" s="4" t="str">
        <x:v>首轮采购 BOM · 两套原型 + 对照件</x:v>
      </x:c>
    </x:row>
    <x:row r="3" ht="25.5" customHeight="1">
      <x:c r="A3" s="10" t="str">
        <x:v>“计入预算”可在 Excel 中修改；小计和预算合计均由公式计算。物流、SIM 套餐、税费和不可预见结构件未计入。</x:v>
      </x:c>
      <x:c r="B3" s="10" t="str">
        <x:v>“计入预算”可在 Excel 中修改；小计和预算合计均由公式计算。物流、SIM 套餐、税费和不可预见结构件未计入。</x:v>
      </x:c>
      <x:c r="C3" s="10" t="str">
        <x:v>“计入预算”可在 Excel 中修改；小计和预算合计均由公式计算。物流、SIM 套餐、税费和不可预见结构件未计入。</x:v>
      </x:c>
      <x:c r="D3" s="10" t="str">
        <x:v>“计入预算”可在 Excel 中修改；小计和预算合计均由公式计算。物流、SIM 套餐、税费和不可预见结构件未计入。</x:v>
      </x:c>
      <x:c r="E3" s="10" t="str">
        <x:v>“计入预算”可在 Excel 中修改；小计和预算合计均由公式计算。物流、SIM 套餐、税费和不可预见结构件未计入。</x:v>
      </x:c>
      <x:c r="F3" s="10" t="str">
        <x:v>“计入预算”可在 Excel 中修改；小计和预算合计均由公式计算。物流、SIM 套餐、税费和不可预见结构件未计入。</x:v>
      </x:c>
      <x:c r="G3" s="10" t="str">
        <x:v>“计入预算”可在 Excel 中修改；小计和预算合计均由公式计算。物流、SIM 套餐、税费和不可预见结构件未计入。</x:v>
      </x:c>
      <x:c r="H3" s="10" t="str">
        <x:v>“计入预算”可在 Excel 中修改；小计和预算合计均由公式计算。物流、SIM 套餐、税费和不可预见结构件未计入。</x:v>
      </x:c>
      <x:c r="I3" s="10" t="str">
        <x:v>“计入预算”可在 Excel 中修改；小计和预算合计均由公式计算。物流、SIM 套餐、税费和不可预见结构件未计入。</x:v>
      </x:c>
      <x:c r="J3" s="10" t="str">
        <x:v>“计入预算”可在 Excel 中修改；小计和预算合计均由公式计算。物流、SIM 套餐、税费和不可预见结构件未计入。</x:v>
      </x:c>
    </x:row>
    <x:row r="4" ht="27" customHeight="1">
      <x:c r="A4" s="212" t="str">
        <x:v>阶段</x:v>
      </x:c>
      <x:c r="B4" s="212" t="str">
        <x:v>类别</x:v>
      </x:c>
      <x:c r="C4" s="212" t="str">
        <x:v>型号 / 物料</x:v>
      </x:c>
      <x:c r="D4" s="212" t="str">
        <x:v>数量</x:v>
      </x:c>
      <x:c r="E4" s="212" t="str">
        <x:v>单价</x:v>
      </x:c>
      <x:c r="F4" s="212" t="str">
        <x:v>计入预算</x:v>
      </x:c>
      <x:c r="G4" s="212" t="str">
        <x:v>小计</x:v>
      </x:c>
      <x:c r="H4" s="212" t="str">
        <x:v>计入金额</x:v>
      </x:c>
      <x:c r="I4" s="212" t="str">
        <x:v>商品链接</x:v>
      </x:c>
      <x:c r="J4" s="212" t="str">
        <x:v>采购与验收说明</x:v>
      </x:c>
    </x:row>
    <x:row r="5" ht="39" customHeight="1">
      <x:c r="A5" s="217" t="str">
        <x:v>V0</x:v>
      </x:c>
      <x:c r="B5" s="217" t="str">
        <x:v>主控</x:v>
      </x:c>
      <x:c r="C5" s="217" t="str">
        <x:v>FireBeetle 2 ESP32-S3 N4</x:v>
      </x:c>
      <x:c r="D5" s="237" t="n">
        <x:v>2</x:v>
      </x:c>
      <x:c r="E5" s="221" t="n">
        <x:v>69</x:v>
      </x:c>
      <x:c r="F5" s="221" t="str">
        <x:v>是</x:v>
      </x:c>
      <x:c r="G5" s="221" t="n">
        <x:f>D5*E5</x:f>
        <x:v>138</x:v>
      </x:c>
      <x:c r="H5" s="221" t="n">
        <x:f>IF(F5="是",G5,0)</x:f>
        <x:v>138</x:v>
      </x:c>
      <x:c r="I5" s="231" t="str">
        <x:v>https://item.taobao.com/item.htm?id=788239064657</x:v>
      </x:c>
      <x:c r="J5" s="217" t="str">
        <x:v>每套 1 块；确认 N4 版本和排针</x:v>
      </x:c>
    </x:row>
    <x:row r="6" ht="39" customHeight="1">
      <x:c r="A6" s="217" t="str">
        <x:v>V0</x:v>
      </x:c>
      <x:c r="B6" s="217" t="str">
        <x:v>定位</x:v>
      </x:c>
      <x:c r="C6" s="217" t="str">
        <x:v>UM620 开发板 + 天线</x:v>
      </x:c>
      <x:c r="D6" s="237" t="n">
        <x:v>2</x:v>
      </x:c>
      <x:c r="E6" s="221" t="n">
        <x:v>94.8</x:v>
      </x:c>
      <x:c r="F6" s="221" t="str">
        <x:v>是</x:v>
      </x:c>
      <x:c r="G6" s="221" t="n">
        <x:f>D6*E6</x:f>
        <x:v>189.6</x:v>
      </x:c>
      <x:c r="H6" s="221" t="n">
        <x:f>IF(F6="是",G6,0)</x:f>
        <x:v>189.6</x:v>
      </x:c>
      <x:c r="I6" s="231" t="str">
        <x:v>https://item.taobao.com/item.htm?id=1042369620858</x:v>
      </x:c>
      <x:c r="J6" s="217" t="str">
        <x:v>确认双频、10Hz、1PPS 引出和天线是否随板</x:v>
      </x:c>
    </x:row>
    <x:row r="7" ht="39" customHeight="1">
      <x:c r="A7" s="217" t="str">
        <x:v>V0</x:v>
      </x:c>
      <x:c r="B7" s="217" t="str">
        <x:v>IMU</x:v>
      </x:c>
      <x:c r="C7" s="217" t="str">
        <x:v>ICM-42688-P 模块</x:v>
      </x:c>
      <x:c r="D7" s="237" t="n">
        <x:v>2</x:v>
      </x:c>
      <x:c r="E7" s="221" t="n">
        <x:v>85</x:v>
      </x:c>
      <x:c r="F7" s="221" t="str">
        <x:v>是</x:v>
      </x:c>
      <x:c r="G7" s="221" t="n">
        <x:f>D7*E7</x:f>
        <x:v>170</x:v>
      </x:c>
      <x:c r="H7" s="221" t="n">
        <x:f>IF(F7="是",G7,0)</x:f>
        <x:v>170</x:v>
      </x:c>
      <x:c r="I7" s="231" t="str">
        <x:v>https://item.taobao.com/item.htm?id=824324354383</x:v>
      </x:c>
      <x:c r="J7" s="217" t="str">
        <x:v>确认 SPI、INT 引脚和 3.3V 电平</x:v>
      </x:c>
    </x:row>
    <x:row r="8" ht="39" customHeight="1">
      <x:c r="A8" s="217" t="str">
        <x:v>V0</x:v>
      </x:c>
      <x:c r="B8" s="217" t="str">
        <x:v>心率</x:v>
      </x:c>
      <x:c r="C8" s="217" t="str">
        <x:v>Magene H303</x:v>
      </x:c>
      <x:c r="D8" s="237" t="n">
        <x:v>2</x:v>
      </x:c>
      <x:c r="E8" s="221" t="n">
        <x:v>69.9</x:v>
      </x:c>
      <x:c r="F8" s="221" t="str">
        <x:v>是</x:v>
      </x:c>
      <x:c r="G8" s="221" t="n">
        <x:f>D8*E8</x:f>
        <x:v>139.8</x:v>
      </x:c>
      <x:c r="H8" s="221" t="n">
        <x:f>IF(F8="是",G8,0)</x:f>
        <x:v>139.8</x:v>
      </x:c>
      <x:c r="I8" s="231" t="str">
        <x:v>https://item.taobao.com/item.htm?id=1049029613702</x:v>
      </x:c>
      <x:c r="J8" s="217" t="str">
        <x:v>到货先用手机 BLE 工具确认 0x180D/0x2A37</x:v>
      </x:c>
    </x:row>
    <x:row r="9" ht="39" customHeight="1">
      <x:c r="A9" s="217" t="str">
        <x:v>V0</x:v>
      </x:c>
      <x:c r="B9" s="217" t="str">
        <x:v>存储</x:v>
      </x:c>
      <x:c r="C9" s="217" t="str">
        <x:v>Waveshare MicroSD 模块</x:v>
      </x:c>
      <x:c r="D9" s="237" t="n">
        <x:v>2</x:v>
      </x:c>
      <x:c r="E9" s="221" t="n">
        <x:v>18.72</x:v>
      </x:c>
      <x:c r="F9" s="221" t="str">
        <x:v>是</x:v>
      </x:c>
      <x:c r="G9" s="221" t="n">
        <x:f>D9*E9</x:f>
        <x:v>37.44</x:v>
      </x:c>
      <x:c r="H9" s="221" t="n">
        <x:f>IF(F9="是",G9,0)</x:f>
        <x:v>37.44</x:v>
      </x:c>
      <x:c r="I9" s="231" t="str">
        <x:v>https://item.taobao.com/item.htm?id=12358178476</x:v>
      </x:c>
      <x:c r="J9" s="217" t="str">
        <x:v>确认逻辑电平；优先独立 CS</x:v>
      </x:c>
    </x:row>
    <x:row r="10" ht="39" customHeight="1">
      <x:c r="A10" s="217" t="str">
        <x:v>V0</x:v>
      </x:c>
      <x:c r="B10" s="217" t="str">
        <x:v>存储</x:v>
      </x:c>
      <x:c r="C10" s="217" t="str">
        <x:v>Lenovo 128GB V30 TF 卡</x:v>
      </x:c>
      <x:c r="D10" s="237" t="n">
        <x:v>2</x:v>
      </x:c>
      <x:c r="E10" s="221" t="n">
        <x:v>36.95</x:v>
      </x:c>
      <x:c r="F10" s="221" t="str">
        <x:v>是</x:v>
      </x:c>
      <x:c r="G10" s="221" t="n">
        <x:f>D10*E10</x:f>
        <x:v>73.9</x:v>
      </x:c>
      <x:c r="H10" s="221" t="n">
        <x:f>IF(F10="是",G10,0)</x:f>
        <x:v>73.9</x:v>
      </x:c>
      <x:c r="I10" s="231" t="str">
        <x:v>https://item.taobao.com/item.htm?id=714407773151</x:v>
      </x:c>
      <x:c r="J10" s="217" t="str">
        <x:v>验真、全盘写入和掉电恢复测试</x:v>
      </x:c>
    </x:row>
    <x:row r="11" ht="39" customHeight="1">
      <x:c r="A11" s="217" t="str">
        <x:v>V0</x:v>
      </x:c>
      <x:c r="B11" s="217" t="str">
        <x:v>电源</x:v>
      </x:c>
      <x:c r="C11" s="217" t="str">
        <x:v>3.7V 2000mAh 保护板电池</x:v>
      </x:c>
      <x:c r="D11" s="237" t="n">
        <x:v>4</x:v>
      </x:c>
      <x:c r="E11" s="221" t="n">
        <x:v>10.8</x:v>
      </x:c>
      <x:c r="F11" s="221" t="str">
        <x:v>是</x:v>
      </x:c>
      <x:c r="G11" s="221" t="n">
        <x:f>D11*E11</x:f>
        <x:v>43.2</x:v>
      </x:c>
      <x:c r="H11" s="221" t="n">
        <x:f>IF(F11="是",G11,0)</x:f>
        <x:v>43.2</x:v>
      </x:c>
      <x:c r="I11" s="231" t="str">
        <x:v>https://item.taobao.com/item.htm?id=584934447777</x:v>
      </x:c>
      <x:c r="J11" s="217" t="str">
        <x:v>每套 1 块 + 2 块备件；逐块测容量/极性/温升</x:v>
      </x:c>
    </x:row>
    <x:row r="12" ht="39" customHeight="1">
      <x:c r="A12" s="217" t="str">
        <x:v>V0</x:v>
      </x:c>
      <x:c r="B12" s="217" t="str">
        <x:v>背心</x:v>
      </x:c>
      <x:c r="C12" s="217" t="str">
        <x:v>CSSIT GPS 口袋背心</x:v>
      </x:c>
      <x:c r="D12" s="237" t="n">
        <x:v>2</x:v>
      </x:c>
      <x:c r="E12" s="221" t="n">
        <x:v>59.8</x:v>
      </x:c>
      <x:c r="F12" s="221" t="str">
        <x:v>是</x:v>
      </x:c>
      <x:c r="G12" s="221" t="n">
        <x:f>D12*E12</x:f>
        <x:v>119.6</x:v>
      </x:c>
      <x:c r="H12" s="221" t="n">
        <x:f>IF(F12="是",G12,0)</x:f>
        <x:v>119.6</x:v>
      </x:c>
      <x:c r="I12" s="231" t="str">
        <x:v>https://item.taobao.com/item.htm?id=848915824085</x:v>
      </x:c>
      <x:c r="J12" s="217" t="str">
        <x:v>至少两种尺码；跑动检查晃动与磨擦</x:v>
      </x:c>
    </x:row>
    <x:row r="13" ht="39" customHeight="1">
      <x:c r="A13" s="217" t="str">
        <x:v>V0</x:v>
      </x:c>
      <x:c r="B13" s="217" t="str">
        <x:v>连接</x:v>
      </x:c>
      <x:c r="C13" s="217" t="str">
        <x:v>线材、排针、热缩管、防汗袋预算</x:v>
      </x:c>
      <x:c r="D13" s="237" t="n">
        <x:v>2</x:v>
      </x:c>
      <x:c r="E13" s="221" t="n">
        <x:v>30</x:v>
      </x:c>
      <x:c r="F13" s="221" t="str">
        <x:v>是</x:v>
      </x:c>
      <x:c r="G13" s="221" t="n">
        <x:f>D13*E13</x:f>
        <x:v>60</x:v>
      </x:c>
      <x:c r="H13" s="221" t="n">
        <x:f>IF(F13="是",G13,0)</x:f>
        <x:v>60</x:v>
      </x:c>
      <x:c r="I13" s="231" t="str"/>
      <x:c r="J13" s="217" t="str">
        <x:v>按每套 30 元预留</x:v>
      </x:c>
    </x:row>
    <x:row r="14" ht="39" customHeight="1">
      <x:c r="A14" s="217" t="str">
        <x:v>V0</x:v>
      </x:c>
      <x:c r="B14" s="217" t="str">
        <x:v>结构</x:v>
      </x:c>
      <x:c r="C14" s="217" t="str">
        <x:v>可拆卸背仓/缓冲/固定件预算</x:v>
      </x:c>
      <x:c r="D14" s="237" t="n">
        <x:v>2</x:v>
      </x:c>
      <x:c r="E14" s="221" t="n">
        <x:v>50</x:v>
      </x:c>
      <x:c r="F14" s="221" t="str">
        <x:v>是</x:v>
      </x:c>
      <x:c r="G14" s="221" t="n">
        <x:f>D14*E14</x:f>
        <x:v>100</x:v>
      </x:c>
      <x:c r="H14" s="221" t="n">
        <x:f>IF(F14="是",G14,0)</x:f>
        <x:v>100</x:v>
      </x:c>
      <x:c r="I14" s="231" t="str"/>
      <x:c r="J14" s="217" t="str">
        <x:v>避免硬件直接接触脊柱；圆角、软垫、可拆卸</x:v>
      </x:c>
    </x:row>
    <x:row r="15" ht="39" customHeight="1">
      <x:c r="A15" s="217" t="str">
        <x:v>对照</x:v>
      </x:c>
      <x:c r="B15" s="217" t="str">
        <x:v>IMU</x:v>
      </x:c>
      <x:c r="C15" s="217" t="str">
        <x:v>ICM-45686 模块</x:v>
      </x:c>
      <x:c r="D15" s="237" t="n">
        <x:v>1</x:v>
      </x:c>
      <x:c r="E15" s="221" t="n">
        <x:v>85</x:v>
      </x:c>
      <x:c r="F15" s="221" t="str">
        <x:v>是</x:v>
      </x:c>
      <x:c r="G15" s="221" t="n">
        <x:f>D15*E15</x:f>
        <x:v>85</x:v>
      </x:c>
      <x:c r="H15" s="221" t="n">
        <x:f>IF(F15="是",G15,0)</x:f>
        <x:v>85</x:v>
      </x:c>
      <x:c r="I15" s="231" t="str">
        <x:v>https://item.taobao.com/item.htm?id=844676198600</x:v>
      </x:c>
      <x:c r="J15" s="217" t="str">
        <x:v>用于高量程/高冲击对照</x:v>
      </x:c>
    </x:row>
    <x:row r="16" ht="39" customHeight="1">
      <x:c r="A16" s="217" t="str">
        <x:v>对照</x:v>
      </x:c>
      <x:c r="B16" s="217" t="str">
        <x:v>IMU</x:v>
      </x:c>
      <x:c r="C16" s="217" t="str">
        <x:v>BMI088 模块</x:v>
      </x:c>
      <x:c r="D16" s="237" t="n">
        <x:v>1</x:v>
      </x:c>
      <x:c r="E16" s="221" t="n">
        <x:v>70</x:v>
      </x:c>
      <x:c r="F16" s="221" t="str">
        <x:v>是</x:v>
      </x:c>
      <x:c r="G16" s="221" t="n">
        <x:f>D16*E16</x:f>
        <x:v>70</x:v>
      </x:c>
      <x:c r="H16" s="221" t="n">
        <x:f>IF(F16="是",G16,0)</x:f>
        <x:v>70</x:v>
      </x:c>
      <x:c r="I16" s="231" t="str">
        <x:v>https://item.taobao.com/item.htm?id=974795061349</x:v>
      </x:c>
      <x:c r="J16" s="217" t="str">
        <x:v>用于抗振对照</x:v>
      </x:c>
    </x:row>
    <x:row r="17" ht="39" customHeight="1">
      <x:c r="A17" s="217" t="str">
        <x:v>对照</x:v>
      </x:c>
      <x:c r="B17" s="217" t="str">
        <x:v>定位</x:v>
      </x:c>
      <x:c r="C17" s="217" t="str">
        <x:v>大夏龙雀 DX-GP21</x:v>
      </x:c>
      <x:c r="D17" s="237" t="n">
        <x:v>1</x:v>
      </x:c>
      <x:c r="E17" s="221" t="n">
        <x:v>23.9</x:v>
      </x:c>
      <x:c r="F17" s="221" t="str">
        <x:v>是</x:v>
      </x:c>
      <x:c r="G17" s="221" t="n">
        <x:f>D17*E17</x:f>
        <x:v>23.9</x:v>
      </x:c>
      <x:c r="H17" s="221" t="n">
        <x:f>IF(F17="是",G17,0)</x:f>
        <x:v>23.9</x:v>
      </x:c>
      <x:c r="I17" s="231" t="str">
        <x:v>https://detail.tmall.com/item.htm?id=808867563531</x:v>
      </x:c>
      <x:c r="J17" s="217" t="str">
        <x:v>比较低成本双频板；注意常见版本无 PPS</x:v>
      </x:c>
    </x:row>
    <x:row r="18" ht="39" customHeight="1">
      <x:c r="A18" s="217" t="str">
        <x:v>可选</x:v>
      </x:c>
      <x:c r="B18" s="217" t="str">
        <x:v>心率</x:v>
      </x:c>
      <x:c r="C18" s="217" t="str">
        <x:v>Polar H10</x:v>
      </x:c>
      <x:c r="D18" s="237" t="n">
        <x:v>1</x:v>
      </x:c>
      <x:c r="E18" s="221" t="n">
        <x:v>889</x:v>
      </x:c>
      <x:c r="F18" s="221" t="str">
        <x:v>否</x:v>
      </x:c>
      <x:c r="G18" s="221" t="n">
        <x:f>D18*E18</x:f>
        <x:v>889</x:v>
      </x:c>
      <x:c r="H18" s="221" t="n">
        <x:f>IF(F18="是",G18,0)</x:f>
        <x:v>0</x:v>
      </x:c>
      <x:c r="I18" s="231" t="str">
        <x:v>https://item.taobao.com/item.htm?id=40769842347</x:v>
      </x:c>
      <x:c r="J18" s="217" t="str">
        <x:v>需要评估胸带精度时再买作参考</x:v>
      </x:c>
    </x:row>
    <x:row r="19" ht="39" customHeight="1">
      <x:c r="A19" s="217" t="str">
        <x:v>可选</x:v>
      </x:c>
      <x:c r="B19" s="217" t="str">
        <x:v>IMU</x:v>
      </x:c>
      <x:c r="C19" s="217" t="str">
        <x:v>维特 WTi-603C</x:v>
      </x:c>
      <x:c r="D19" s="237" t="n">
        <x:v>1</x:v>
      </x:c>
      <x:c r="E19" s="221" t="n">
        <x:v>175</x:v>
      </x:c>
      <x:c r="F19" s="221" t="str">
        <x:v>否</x:v>
      </x:c>
      <x:c r="G19" s="221" t="n">
        <x:f>D19*E19</x:f>
        <x:v>175</x:v>
      </x:c>
      <x:c r="H19" s="221" t="n">
        <x:f>IF(F19="是",G19,0)</x:f>
        <x:v>0</x:v>
      </x:c>
      <x:c r="I19" s="231" t="str">
        <x:v>https://detail.tmall.com/item.htm?id=1077522192727</x:v>
      </x:c>
      <x:c r="J19" s="217" t="str">
        <x:v>只在需要快速姿态演示时购买</x:v>
      </x:c>
    </x:row>
    <x:row r="20" ht="39" customHeight="1">
      <x:c r="A20" s="217" t="str">
        <x:v>V1</x:v>
      </x:c>
      <x:c r="B20" s="217" t="str">
        <x:v>4G</x:v>
      </x:c>
      <x:c r="C20" s="217" t="str">
        <x:v>EC200U 开发板</x:v>
      </x:c>
      <x:c r="D20" s="237" t="n">
        <x:v>1</x:v>
      </x:c>
      <x:c r="E20" s="221" t="n">
        <x:v>79</x:v>
      </x:c>
      <x:c r="F20" s="221" t="str">
        <x:v>否</x:v>
      </x:c>
      <x:c r="G20" s="221" t="n">
        <x:f>D20*E20</x:f>
        <x:v>79</x:v>
      </x:c>
      <x:c r="H20" s="221" t="n">
        <x:f>IF(F20="是",G20,0)</x:f>
        <x:v>0</x:v>
      </x:c>
      <x:c r="I20" s="231" t="str">
        <x:v>https://item.taobao.com/item.htm?id=616741646122</x:v>
      </x:c>
      <x:c r="J20" s="217" t="str">
        <x:v>完成 V0 数据闭环后再验证；需独立峰值供电</x:v>
      </x:c>
    </x:row>
    <x:row r="21" ht="39" customHeight="1">
      <x:c r="A21" s="218" t="str">
        <x:v>V1</x:v>
      </x:c>
      <x:c r="B21" s="218" t="str">
        <x:v>定位</x:v>
      </x:c>
      <x:c r="C21" s="218" t="str">
        <x:v>LC29HEA RTK 开发板</x:v>
      </x:c>
      <x:c r="D21" s="238" t="n">
        <x:v>1</x:v>
      </x:c>
      <x:c r="E21" s="222" t="n">
        <x:v>154.8</x:v>
      </x:c>
      <x:c r="F21" s="222" t="str">
        <x:v>否</x:v>
      </x:c>
      <x:c r="G21" s="222" t="n">
        <x:f>D21*E21</x:f>
        <x:v>154.8</x:v>
      </x:c>
      <x:c r="H21" s="222" t="n">
        <x:f>IF(F21="是",G21,0)</x:f>
        <x:v>0</x:v>
      </x:c>
      <x:c r="I21" s="232" t="str">
        <x:v>https://item.taobao.com/item.htm?id=777579561431</x:v>
      </x:c>
      <x:c r="J21" s="218" t="str">
        <x:v>需要基站/NTRIP 改正链路才是 RTK</x:v>
      </x:c>
    </x:row>
    <x:row r="22" ht="28.5" customHeight="1">
      <x:c r="A22" s="235" t="str">
        <x:v>合计（右侧依次为：所有候选 / 已计入预算）</x:v>
      </x:c>
      <x:c r="B22" s="235"/>
      <x:c r="C22" s="235"/>
      <x:c r="D22" s="235"/>
      <x:c r="E22" s="236"/>
      <x:c r="F22" s="236"/>
      <x:c r="G22" s="236" t="n">
        <x:f>SUM(G5:G21)</x:f>
        <x:v>2548.2400000000007</x:v>
      </x:c>
      <x:c r="H22" s="236" t="n">
        <x:f>SUM(H5:H21)</x:f>
        <x:v>1250.4400000000003</x:v>
      </x:c>
      <x:c r="I22" s="235" t="str">
        <x:v>可选件不会进入右侧预算合计</x:v>
      </x:c>
      <x:c r="J22" s="235"/>
    </x:row>
  </x:sheetData>
  <x:mergeCells>
    <x:mergeCell ref="A1:J2"/>
    <x:mergeCell ref="A3:J3"/>
    <x:mergeCell ref="A22:F22"/>
    <x:mergeCell ref="I22:J22"/>
  </x:mergeCells>
  <x:conditionalFormatting sqref="F5:F21">
    <x:cfRule type="containsText" dxfId="15" priority="1" operator="containsText" text="是"/>
    <x:cfRule type="containsText" dxfId="16" priority="2" operator="containsText" text="否"/>
  </x:conditionalFormatting>
  <x:dataValidations count="1">
    <x:dataValidation type="list" sqref="F5:F2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066a46725948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6" hidden="0" customWidth="1"/>
    <x:col min="4" max="4" width="32" hidden="0" customWidth="1"/>
    <x:col min="5" max="5" width="25" hidden="0" customWidth="1"/>
    <x:col min="6" max="6" width="24" hidden="0" customWidth="1"/>
    <x:col min="7" max="7" width="25" hidden="0" customWidth="1"/>
    <x:col min="8" max="8" width="22" hidden="0" customWidth="1"/>
    <x:col min="9" max="9" width="25" hidden="0" customWidth="1"/>
    <x:col min="10" max="10" width="18" hidden="0" customWidth="1"/>
  </x:cols>
  <x:sheetData>
    <x:row r="1" ht="36" customHeight="1">
      <x:c r="A1" s="4" t="str">
        <x:v>接口、时间同步与功能验证</x:v>
      </x:c>
      <x:c r="B1" s="4" t="str">
        <x:v>接口、时间同步与功能验证</x:v>
      </x:c>
      <x:c r="C1" s="4" t="str">
        <x:v>接口、时间同步与功能验证</x:v>
      </x:c>
      <x:c r="D1" s="4" t="str">
        <x:v>接口、时间同步与功能验证</x:v>
      </x:c>
      <x:c r="E1" s="4" t="str">
        <x:v>接口、时间同步与功能验证</x:v>
      </x:c>
      <x:c r="F1" s="4" t="str">
        <x:v>接口、时间同步与功能验证</x:v>
      </x:c>
      <x:c r="G1" s="4" t="str">
        <x:v>接口、时间同步与功能验证</x:v>
      </x:c>
      <x:c r="H1" s="4" t="str">
        <x:v>接口、时间同步与功能验证</x:v>
      </x:c>
      <x:c r="I1" s="4" t="str">
        <x:v>接口、时间同步与功能验证</x:v>
      </x:c>
      <x:c r="J1" s="4" t="str">
        <x:v>接口、时间同步与功能验证</x:v>
      </x:c>
    </x:row>
    <x:row r="2" ht="36" customHeight="1">
      <x:c r="A2" s="4" t="str">
        <x:v>接口、时间同步与功能验证</x:v>
      </x:c>
      <x:c r="B2" s="4" t="str">
        <x:v>接口、时间同步与功能验证</x:v>
      </x:c>
      <x:c r="C2" s="4" t="str">
        <x:v>接口、时间同步与功能验证</x:v>
      </x:c>
      <x:c r="D2" s="4" t="str">
        <x:v>接口、时间同步与功能验证</x:v>
      </x:c>
      <x:c r="E2" s="4" t="str">
        <x:v>接口、时间同步与功能验证</x:v>
      </x:c>
      <x:c r="F2" s="4" t="str">
        <x:v>接口、时间同步与功能验证</x:v>
      </x:c>
      <x:c r="G2" s="4" t="str">
        <x:v>接口、时间同步与功能验证</x:v>
      </x:c>
      <x:c r="H2" s="4" t="str">
        <x:v>接口、时间同步与功能验证</x:v>
      </x:c>
      <x:c r="I2" s="4" t="str">
        <x:v>接口、时间同步与功能验证</x:v>
      </x:c>
      <x:c r="J2" s="4" t="str">
        <x:v>接口、时间同步与功能验证</x:v>
      </x:c>
    </x:row>
    <x:row r="3" ht="25.5" customHeight="1">
      <x:c r="A3" s="10" t="str">
        <x:v>原则：ESP32-S3 的单调微秒时钟是唯一设备时间基准；回调只入队，驱动由单一采集任务拥有，队列必须有容量和溢出计数。</x:v>
      </x:c>
      <x:c r="B3" s="10" t="str">
        <x:v>原则：ESP32-S3 的单调微秒时钟是唯一设备时间基准；回调只入队，驱动由单一采集任务拥有，队列必须有容量和溢出计数。</x:v>
      </x:c>
      <x:c r="C3" s="10" t="str">
        <x:v>原则：ESP32-S3 的单调微秒时钟是唯一设备时间基准；回调只入队，驱动由单一采集任务拥有，队列必须有容量和溢出计数。</x:v>
      </x:c>
      <x:c r="D3" s="10" t="str">
        <x:v>原则：ESP32-S3 的单调微秒时钟是唯一设备时间基准；回调只入队，驱动由单一采集任务拥有，队列必须有容量和溢出计数。</x:v>
      </x:c>
      <x:c r="E3" s="10" t="str">
        <x:v>原则：ESP32-S3 的单调微秒时钟是唯一设备时间基准；回调只入队，驱动由单一采集任务拥有，队列必须有容量和溢出计数。</x:v>
      </x:c>
      <x:c r="F3" s="10" t="str">
        <x:v>原则：ESP32-S3 的单调微秒时钟是唯一设备时间基准；回调只入队，驱动由单一采集任务拥有，队列必须有容量和溢出计数。</x:v>
      </x:c>
      <x:c r="G3" s="10" t="str">
        <x:v>原则：ESP32-S3 的单调微秒时钟是唯一设备时间基准；回调只入队，驱动由单一采集任务拥有，队列必须有容量和溢出计数。</x:v>
      </x:c>
      <x:c r="H3" s="10" t="str">
        <x:v>原则：ESP32-S3 的单调微秒时钟是唯一设备时间基准；回调只入队，驱动由单一采集任务拥有，队列必须有容量和溢出计数。</x:v>
      </x:c>
      <x:c r="I3" s="10" t="str">
        <x:v>原则：ESP32-S3 的单调微秒时钟是唯一设备时间基准；回调只入队，驱动由单一采集任务拥有，队列必须有容量和溢出计数。</x:v>
      </x:c>
      <x:c r="J3" s="10" t="str">
        <x:v>原则：ESP32-S3 的单调微秒时钟是唯一设备时间基准；回调只入队，驱动由单一采集任务拥有，队列必须有容量和溢出计数。</x:v>
      </x:c>
    </x:row>
    <x:row r="5" ht="21" customHeight="1">
      <x:c r="A5" s="197" t="str">
        <x:v>接口与采样建议</x:v>
      </x:c>
      <x:c r="B5" s="197" t="str">
        <x:v>接口与采样建议</x:v>
      </x:c>
      <x:c r="C5" s="197" t="str">
        <x:v>接口与采样建议</x:v>
      </x:c>
      <x:c r="D5" s="197" t="str">
        <x:v>接口与采样建议</x:v>
      </x:c>
      <x:c r="E5" s="197" t="str">
        <x:v>接口与采样建议</x:v>
      </x:c>
      <x:c r="F5" s="197" t="str">
        <x:v>接口与采样建议</x:v>
      </x:c>
      <x:c r="G5" s="197" t="str">
        <x:v>接口与采样建议</x:v>
      </x:c>
      <x:c r="H5" s="197" t="str">
        <x:v>接口与采样建议</x:v>
      </x:c>
      <x:c r="I5" s="197" t="str">
        <x:v>接口与采样建议</x:v>
      </x:c>
      <x:c r="J5" s="197" t="str">
        <x:v>接口与采样建议</x:v>
      </x:c>
    </x:row>
    <x:row r="6" ht="27" customHeight="1">
      <x:c r="A6" s="212" t="str">
        <x:v>模块</x:v>
      </x:c>
      <x:c r="B6" s="212" t="str">
        <x:v>供电</x:v>
      </x:c>
      <x:c r="C6" s="212" t="str">
        <x:v>物理接口</x:v>
      </x:c>
      <x:c r="D6" s="212" t="str">
        <x:v>ESP32 连接</x:v>
      </x:c>
      <x:c r="E6" s="212" t="str">
        <x:v>建议速率</x:v>
      </x:c>
      <x:c r="F6" s="212" t="str">
        <x:v>时间戳位置</x:v>
      </x:c>
      <x:c r="G6" s="212" t="str">
        <x:v>缓冲策略</x:v>
      </x:c>
      <x:c r="H6" s="212" t="str">
        <x:v>队列满策略</x:v>
      </x:c>
      <x:c r="I6" s="212" t="str">
        <x:v>文件字段</x:v>
      </x:c>
      <x:c r="J6" s="212" t="str">
        <x:v>注意事项</x:v>
      </x:c>
    </x:row>
    <x:row r="7" ht="57" customHeight="1">
      <x:c r="A7" s="217" t="str">
        <x:v>ICM-42688-P</x:v>
      </x:c>
      <x:c r="B7" s="217" t="str">
        <x:v>3.3V</x:v>
      </x:c>
      <x:c r="C7" s="217" t="str">
        <x:v>SPI + INT</x:v>
      </x:c>
      <x:c r="D7" s="217" t="str">
        <x:v>SCLK/MOSI/MISO/CS/DRDY</x:v>
      </x:c>
      <x:c r="E7" s="217" t="str">
        <x:v>400 Hz 起；可比较 200/800 Hz</x:v>
      </x:c>
      <x:c r="F7" s="217" t="str">
        <x:v>DRDY 中断捕获 esp_timer_get_time()</x:v>
      </x:c>
      <x:c r="G7" s="217" t="str">
        <x:v>读 FIFO；每批 8–32 帧</x:v>
      </x:c>
      <x:c r="H7" s="217" t="str">
        <x:v>丢最旧并计数；不能阻塞中断</x:v>
      </x:c>
      <x:c r="I7" s="217" t="str">
        <x:v>t_us, ax, ay, az, gx, gy, gz, temp, seq</x:v>
      </x:c>
      <x:c r="J7" s="217" t="str">
        <x:v>固定坐标轴和安装方向；启动静态校准</x:v>
      </x:c>
    </x:row>
    <x:row r="8" ht="57" customHeight="1">
      <x:c r="A8" s="217" t="str">
        <x:v>UM620</x:v>
      </x:c>
      <x:c r="B8" s="217" t="str">
        <x:v>按板卡规格</x:v>
      </x:c>
      <x:c r="C8" s="217" t="str">
        <x:v>UART + 1PPS</x:v>
      </x:c>
      <x:c r="D8" s="217" t="str">
        <x:v>RX/TX/PPS GPIO</x:v>
      </x:c>
      <x:c r="E8" s="217" t="str">
        <x:v>导航 10 Hz；PPS 1 Hz</x:v>
      </x:c>
      <x:c r="F8" s="217" t="str">
        <x:v>PPS 边沿标记本地时钟；NMEA/二进制报文到达再关联</x:v>
      </x:c>
      <x:c r="G8" s="217" t="str">
        <x:v>按完整报文入队</x:v>
      </x:c>
      <x:c r="H8" s="217" t="str">
        <x:v>丢失报文计数；保留最近 PPS</x:v>
      </x:c>
      <x:c r="I8" s="217" t="str">
        <x:v>t_us, utc, lat, lon, alt, speed, course, fix, sats</x:v>
      </x:c>
      <x:c r="J8" s="217" t="str">
        <x:v>天线朝外上方；避免电池/人体遮挡</x:v>
      </x:c>
    </x:row>
    <x:row r="9" ht="57" customHeight="1">
      <x:c r="A9" s="217" t="str">
        <x:v>Magene H303</x:v>
      </x:c>
      <x:c r="B9" s="217" t="str">
        <x:v>胸带自供电</x:v>
      </x:c>
      <x:c r="C9" s="217" t="str">
        <x:v>BLE HRS</x:v>
      </x:c>
      <x:c r="D9" s="217" t="str">
        <x:v>ESP32 作 BLE Central</x:v>
      </x:c>
      <x:c r="E9" s="217" t="str">
        <x:v>通知约 1–4 Hz</x:v>
      </x:c>
      <x:c r="F9" s="217" t="str">
        <x:v>收到 0x2A37 通知时标记 t_us</x:v>
      </x:c>
      <x:c r="G9" s="217" t="str">
        <x:v>每条通知入队</x:v>
      </x:c>
      <x:c r="H9" s="217" t="str">
        <x:v>队列满丢最旧；断连退避重连</x:v>
      </x:c>
      <x:c r="I9" s="217" t="str">
        <x:v>t_us, bpm, rr_ms*, contact*, seq</x:v>
      </x:c>
      <x:c r="J9" s="217" t="str">
        <x:v>并非所有胸带都给 RR；按标志位解析 8/16 位心率</x:v>
      </x:c>
    </x:row>
    <x:row r="10" ht="57" customHeight="1">
      <x:c r="A10" s="217" t="str">
        <x:v>MicroSD</x:v>
      </x:c>
      <x:c r="B10" s="217" t="str">
        <x:v>板卡 3.3/5V；逻辑 3.3V</x:v>
      </x:c>
      <x:c r="C10" s="217" t="str">
        <x:v>SPI</x:v>
      </x:c>
      <x:c r="D10" s="217" t="str">
        <x:v>可与 IMU 共享总线但独立 CS</x:v>
      </x:c>
      <x:c r="E10" s="217" t="str">
        <x:v>4–32KB 批量写</x:v>
      </x:c>
      <x:c r="F10" s="217" t="str">
        <x:v>不产生传感器时间；保留原始 t_us</x:v>
      </x:c>
      <x:c r="G10" s="217" t="str">
        <x:v>RAM 双缓冲</x:v>
      </x:c>
      <x:c r="H10" s="217" t="str">
        <x:v>写慢时告警并受控丢最旧数据</x:v>
      </x:c>
      <x:c r="I10" s="217" t="str">
        <x:v>session.json + imu.bin/csv + gnss + hr + events</x:v>
      </x:c>
      <x:c r="J10" s="217" t="str">
        <x:v>定期 flush；正常结束写完成标志；掉电恢复</x:v>
      </x:c>
    </x:row>
    <x:row r="11" ht="57" customHeight="1">
      <x:c r="A11" s="217" t="str">
        <x:v>Wi-Fi 上传</x:v>
      </x:c>
      <x:c r="B11" s="217" t="str">
        <x:v>主板供电</x:v>
      </x:c>
      <x:c r="C11" s="217" t="str">
        <x:v>802.11 b/g/n</x:v>
      </x:c>
      <x:c r="D11" s="217" t="str">
        <x:v>ESP32 内置</x:v>
      </x:c>
      <x:c r="E11" s="217" t="str">
        <x:v>赛后</x:v>
      </x:c>
      <x:c r="F11" s="217" t="str">
        <x:v>上传不修改原始时间戳</x:v>
      </x:c>
      <x:c r="G11" s="217" t="str">
        <x:v>按文件块上传</x:v>
      </x:c>
      <x:c r="H11" s="217" t="str">
        <x:v>失败保留本地并指数退避</x:v>
      </x:c>
      <x:c r="I11" s="217" t="str">
        <x:v>session_id, chunk_no, hash, bytes</x:v>
      </x:c>
      <x:c r="J11" s="217" t="str">
        <x:v>上传完成后仍保留至云端确认</x:v>
      </x:c>
    </x:row>
    <x:row r="12" ht="57" customHeight="1">
      <x:c r="A12" s="218" t="str">
        <x:v>EC200U（可选）</x:v>
      </x:c>
      <x:c r="B12" s="218" t="str">
        <x:v>独立稳压；峰值能力按模块手册</x:v>
      </x:c>
      <x:c r="C12" s="218" t="str">
        <x:v>UART/USB</x:v>
      </x:c>
      <x:c r="D12" s="218" t="str">
        <x:v>UART + PWRKEY/STATUS</x:v>
      </x:c>
      <x:c r="E12" s="218" t="str">
        <x:v>V1 再测</x:v>
      </x:c>
      <x:c r="F12" s="218" t="str">
        <x:v>与 Wi-Fi 一样保留原始时间</x:v>
      </x:c>
      <x:c r="G12" s="218" t="str">
        <x:v>独立 modem 任务</x:v>
      </x:c>
      <x:c r="H12" s="218" t="str">
        <x:v>命令队列满则拒绝并记录</x:v>
      </x:c>
      <x:c r="I12" s="218" t="str">
        <x:v>网络/信号/重连日志</x:v>
      </x:c>
      <x:c r="J12" s="218" t="str">
        <x:v>4G 驱动必须单任务拥有；不可与采集回调混用</x:v>
      </x:c>
    </x:row>
    <x:row r="14" ht="21" customHeight="1">
      <x:c r="A14" s="197" t="str">
        <x:v>多传感器时间同步流程</x:v>
      </x:c>
      <x:c r="B14" s="197" t="str">
        <x:v>多传感器时间同步流程</x:v>
      </x:c>
      <x:c r="C14" s="197" t="str">
        <x:v>多传感器时间同步流程</x:v>
      </x:c>
      <x:c r="D14" s="197" t="str">
        <x:v>多传感器时间同步流程</x:v>
      </x:c>
      <x:c r="E14" s="197" t="str">
        <x:v>多传感器时间同步流程</x:v>
      </x:c>
      <x:c r="F14" s="197" t="str">
        <x:v>多传感器时间同步流程</x:v>
      </x:c>
      <x:c r="G14" s="197" t="str">
        <x:v>多传感器时间同步流程</x:v>
      </x:c>
      <x:c r="H14" s="197" t="str">
        <x:v>多传感器时间同步流程</x:v>
      </x:c>
      <x:c r="I14" s="197" t="str">
        <x:v>多传感器时间同步流程</x:v>
      </x:c>
      <x:c r="J14" s="197" t="str">
        <x:v>多传感器时间同步流程</x:v>
      </x:c>
    </x:row>
    <x:row r="15" ht="27" customHeight="1">
      <x:c r="A15" s="212" t="str">
        <x:v>步骤</x:v>
      </x:c>
      <x:c r="B15" s="212" t="str">
        <x:v>动作</x:v>
      </x:c>
      <x:c r="C15" s="212" t="str">
        <x:v>输出</x:v>
      </x:c>
      <x:c r="D15" s="212" t="str">
        <x:v>可检查指标</x:v>
      </x:c>
      <x:c r="E15" s="212" t="str">
        <x:v>通过标准</x:v>
      </x:c>
    </x:row>
    <x:row r="16" ht="43.5" customHeight="1">
      <x:c r="A16" s="217" t="n">
        <x:v>1</x:v>
      </x:c>
      <x:c r="B16" s="217" t="str">
        <x:v>启动会话：建立单调时钟 epoch、session_id、固件/配置快照</x:v>
      </x:c>
      <x:c r="C16" s="217" t="str">
        <x:v>session.json</x:v>
      </x:c>
      <x:c r="D16" s="217" t="str">
        <x:v>配置可追溯</x:v>
      </x:c>
      <x:c r="E16" s="217" t="str">
        <x:v>每个文件都能关联同一 session_id</x:v>
      </x:c>
    </x:row>
    <x:row r="17" ht="43.5" customHeight="1">
      <x:c r="A17" s="217" t="n">
        <x:v>2</x:v>
      </x:c>
      <x:c r="B17" s="217" t="str">
        <x:v>IMU：数据就绪中断立即捕获 t_us；任务批量读取 FIFO</x:v>
      </x:c>
      <x:c r="C17" s="217" t="str">
        <x:v>IMU 原始帧 + seq</x:v>
      </x:c>
      <x:c r="D17" s="217" t="str">
        <x:v>间隔分布、掉序、FIFO 溢出</x:v>
      </x:c>
      <x:c r="E17" s="217" t="str">
        <x:v>无倒序；常态丢帧率 &lt;0.1%</x:v>
      </x:c>
    </x:row>
    <x:row r="18" ht="43.5" customHeight="1">
      <x:c r="A18" s="217" t="n">
        <x:v>3</x:v>
      </x:c>
      <x:c r="B18" s="217" t="str">
        <x:v>GNSS：1PPS 边沿捕获 t_us；结合 UTC 报文估计 offset + drift</x:v>
      </x:c>
      <x:c r="C18" s="217" t="str">
        <x:v>本地时钟到 UTC 的线性映射</x:v>
      </x:c>
      <x:c r="D18" s="217" t="str">
        <x:v>PPS 残差</x:v>
      </x:c>
      <x:c r="E18" s="217" t="str">
        <x:v>开阔场稳定后残差目标 &lt;1 ms</x:v>
      </x:c>
    </x:row>
    <x:row r="19" ht="43.5" customHeight="1">
      <x:c r="A19" s="217" t="n">
        <x:v>4</x:v>
      </x:c>
      <x:c r="B19" s="217" t="str">
        <x:v>心率：BLE 通知到达即捕获 t_us；解析 HRS flags/RR</x:v>
      </x:c>
      <x:c r="C19" s="217" t="str">
        <x:v>bpm / RR + 到达时间</x:v>
      </x:c>
      <x:c r="D19" s="217" t="str">
        <x:v>断连次数、通知间隔</x:v>
      </x:c>
      <x:c r="E19" s="217" t="str">
        <x:v>整场无长时断连；间隙可解释</x:v>
      </x:c>
    </x:row>
    <x:row r="20" ht="43.5" customHeight="1">
      <x:c r="A20" s="217" t="n">
        <x:v>5</x:v>
      </x:c>
      <x:c r="B20" s="217" t="str">
        <x:v>落盘：所有流保留原始本地 t_us 和 seq，不在设备端强行重采样</x:v>
      </x:c>
      <x:c r="C20" s="217" t="str">
        <x:v>可重放原始数据</x:v>
      </x:c>
      <x:c r="D20" s="217" t="str">
        <x:v>跨流对齐事件</x:v>
      </x:c>
      <x:c r="E20" s="217" t="str">
        <x:v>敲击/起跑事件在分析端可对齐</x:v>
      </x:c>
    </x:row>
    <x:row r="21" ht="43.5" customHeight="1">
      <x:c r="A21" s="218" t="n">
        <x:v>6</x:v>
      </x:c>
      <x:c r="B21" s="218" t="str">
        <x:v>上传：分片带 hash、chunk_no；云端确认后标记完成</x:v>
      </x:c>
      <x:c r="C21" s="218" t="str">
        <x:v>完整会话包</x:v>
      </x:c>
      <x:c r="D21" s="218" t="str">
        <x:v>缺块、重复块、校验失败</x:v>
      </x:c>
      <x:c r="E21" s="218" t="str">
        <x:v>断网重试后文件 hash 一致</x:v>
      </x:c>
    </x:row>
    <x:row r="23" ht="21" customHeight="1">
      <x:c r="A23" s="197" t="str">
        <x:v>首轮验收用例</x:v>
      </x:c>
      <x:c r="B23" s="197" t="str">
        <x:v>首轮验收用例</x:v>
      </x:c>
      <x:c r="C23" s="197" t="str">
        <x:v>首轮验收用例</x:v>
      </x:c>
      <x:c r="D23" s="197" t="str">
        <x:v>首轮验收用例</x:v>
      </x:c>
      <x:c r="E23" s="197" t="str">
        <x:v>首轮验收用例</x:v>
      </x:c>
      <x:c r="F23" s="197" t="str">
        <x:v>首轮验收用例</x:v>
      </x:c>
      <x:c r="G23" s="197" t="str">
        <x:v>首轮验收用例</x:v>
      </x:c>
      <x:c r="H23" s="197" t="str">
        <x:v>首轮验收用例</x:v>
      </x:c>
      <x:c r="I23" s="197" t="str">
        <x:v>首轮验收用例</x:v>
      </x:c>
      <x:c r="J23" s="197" t="str">
        <x:v>首轮验收用例</x:v>
      </x:c>
    </x:row>
    <x:row r="24" ht="27" customHeight="1">
      <x:c r="A24" s="212" t="str">
        <x:v>编号</x:v>
      </x:c>
      <x:c r="B24" s="212" t="str">
        <x:v>场景</x:v>
      </x:c>
      <x:c r="C24" s="212" t="str">
        <x:v>持续/次数</x:v>
      </x:c>
      <x:c r="D24" s="212" t="str">
        <x:v>采集检查</x:v>
      </x:c>
      <x:c r="E24" s="212" t="str">
        <x:v>GNSS</x:v>
      </x:c>
      <x:c r="F24" s="212" t="str">
        <x:v>心率</x:v>
      </x:c>
      <x:c r="G24" s="212" t="str">
        <x:v>同步</x:v>
      </x:c>
      <x:c r="H24" s="212" t="str">
        <x:v>功耗/温升</x:v>
      </x:c>
      <x:c r="I24" s="212" t="str">
        <x:v>结构/舒适</x:v>
      </x:c>
      <x:c r="J24" s="212" t="str">
        <x:v>判定</x:v>
      </x:c>
    </x:row>
    <x:row r="25" ht="48" customHeight="1">
      <x:c r="A25" s="217" t="str">
        <x:v>T01</x:v>
      </x:c>
      <x:c r="B25" s="217" t="str">
        <x:v>桌面静态长稳</x:v>
      </x:c>
      <x:c r="C25" s="217" t="str">
        <x:v>30 min</x:v>
      </x:c>
      <x:c r="D25" s="217" t="str">
        <x:v>无倒序；IMU 丢帧 &lt;0.1%；SD 无写入错误</x:v>
      </x:c>
      <x:c r="E25" s="217" t="str">
        <x:v>固定点漂移与卫星数记录</x:v>
      </x:c>
      <x:c r="F25" s="217" t="str">
        <x:v>连接稳定</x:v>
      </x:c>
      <x:c r="G25" s="217" t="str">
        <x:v>PPS 残差稳定</x:v>
      </x:c>
      <x:c r="H25" s="217" t="str">
        <x:v>记录平均/峰值电流</x:v>
      </x:c>
      <x:c r="I25" s="217" t="str">
        <x:v>无要求</x:v>
      </x:c>
      <x:c r="J25" s="217" t="str">
        <x:v>必须通过</x:v>
      </x:c>
    </x:row>
    <x:row r="26" ht="48" customHeight="1">
      <x:c r="A26" s="217" t="str">
        <x:v>T02</x:v>
      </x:c>
      <x:c r="B26" s="217" t="str">
        <x:v>10×30 m 冲刺</x:v>
      </x:c>
      <x:c r="C26" s="217" t="str">
        <x:v>10 组</x:v>
      </x:c>
      <x:c r="D26" s="217" t="str">
        <x:v>峰值不饱和或可量化；动作段完整</x:v>
      </x:c>
      <x:c r="E26" s="217" t="str">
        <x:v>速度曲线连续</x:v>
      </x:c>
      <x:c r="F26" s="217" t="str">
        <x:v>高强度段不长时掉线</x:v>
      </x:c>
      <x:c r="G26" s="217" t="str">
        <x:v>起跑事件可对齐</x:v>
      </x:c>
      <x:c r="H26" s="217" t="str">
        <x:v>无复位</x:v>
      </x:c>
      <x:c r="I26" s="217" t="str">
        <x:v>背仓不跳动/撞击脊柱</x:v>
      </x:c>
      <x:c r="J26" s="217" t="str">
        <x:v>必须通过</x:v>
      </x:c>
    </x:row>
    <x:row r="27" ht="48" customHeight="1">
      <x:c r="A27" s="217" t="str">
        <x:v>T03</x:v>
      </x:c>
      <x:c r="B27" s="217" t="str">
        <x:v>急停/变向/跳跃</x:v>
      </x:c>
      <x:c r="C27" s="217" t="str">
        <x:v>每类 20 次</x:v>
      </x:c>
      <x:c r="D27" s="217" t="str">
        <x:v>轴向和安装方向一致；无 FIFO 溢出</x:v>
      </x:c>
      <x:c r="E27" s="217" t="str">
        <x:v>轨迹转角可辨</x:v>
      </x:c>
      <x:c r="F27" s="217" t="str">
        <x:v>记录完整</x:v>
      </x:c>
      <x:c r="G27" s="217" t="str">
        <x:v>事件跨流一致</x:v>
      </x:c>
      <x:c r="H27" s="217" t="str">
        <x:v>温升可接受</x:v>
      </x:c>
      <x:c r="I27" s="217" t="str">
        <x:v>无明显磨擦</x:v>
      </x:c>
      <x:c r="J27" s="217" t="str">
        <x:v>必须通过</x:v>
      </x:c>
    </x:row>
    <x:row r="28" ht="48" customHeight="1">
      <x:c r="A28" s="217" t="str">
        <x:v>T04</x:v>
      </x:c>
      <x:c r="B28" s="217" t="str">
        <x:v>遮挡与断网</x:v>
      </x:c>
      <x:c r="C28" s="217" t="str">
        <x:v>15 min</x:v>
      </x:c>
      <x:c r="D28" s="217" t="str">
        <x:v>断网不影响本地采集</x:v>
      </x:c>
      <x:c r="E28" s="217" t="str">
        <x:v>遮挡恢复后重新定位</x:v>
      </x:c>
      <x:c r="F28" s="217" t="str">
        <x:v>BLE 自动重连</x:v>
      </x:c>
      <x:c r="G28" s="217" t="str">
        <x:v>时间线不中断</x:v>
      </x:c>
      <x:c r="H28" s="217" t="str">
        <x:v>无异常耗电</x:v>
      </x:c>
      <x:c r="I28" s="217" t="str">
        <x:v>—</x:v>
      </x:c>
      <x:c r="J28" s="217" t="str">
        <x:v>必须通过</x:v>
      </x:c>
    </x:row>
    <x:row r="29" ht="48" customHeight="1">
      <x:c r="A29" s="217" t="str">
        <x:v>T05</x:v>
      </x:c>
      <x:c r="B29" s="217" t="str">
        <x:v>赛后上传故障注入</x:v>
      </x:c>
      <x:c r="C29" s="217" t="str">
        <x:v>断网/重启各 3 次</x:v>
      </x:c>
      <x:c r="D29" s="217" t="str">
        <x:v>本地文件不删除</x:v>
      </x:c>
      <x:c r="E29" s="217" t="str">
        <x:v>—</x:v>
      </x:c>
      <x:c r="F29" s="217" t="str">
        <x:v>—</x:v>
      </x:c>
      <x:c r="G29" s="217" t="str">
        <x:v>上传不改时间戳</x:v>
      </x:c>
      <x:c r="H29" s="217" t="str">
        <x:v>—</x:v>
      </x:c>
      <x:c r="I29" s="217" t="str">
        <x:v>—</x:v>
      </x:c>
      <x:c r="J29" s="217" t="str">
        <x:v>分片重试后 hash 一致</x:v>
      </x:c>
    </x:row>
    <x:row r="30" ht="48" customHeight="1">
      <x:c r="A30" s="218" t="str">
        <x:v>T06</x:v>
      </x:c>
      <x:c r="B30" s="218" t="str">
        <x:v>连续佩戴</x:v>
      </x:c>
      <x:c r="C30" s="218" t="str">
        <x:v>≥2 h</x:v>
      </x:c>
      <x:c r="D30" s="218" t="str">
        <x:v>数据完整率目标 ≥99.5%</x:v>
      </x:c>
      <x:c r="E30" s="218" t="str">
        <x:v>有效定位比例记录</x:v>
      </x:c>
      <x:c r="F30" s="218" t="str">
        <x:v>有效心率比例记录</x:v>
      </x:c>
      <x:c r="G30" s="218" t="str">
        <x:v>无明显时钟漂移异常</x:v>
      </x:c>
      <x:c r="H30" s="218" t="str">
        <x:v>无过热/鼓包/复位</x:v>
      </x:c>
      <x:c r="I30" s="218" t="str">
        <x:v>舒适、汗液不进仓</x:v>
      </x:c>
      <x:c r="J30" s="218" t="str">
        <x:v>目标通过</x:v>
      </x:c>
    </x:row>
  </x:sheetData>
  <x:mergeCells>
    <x:mergeCell ref="A1:J2"/>
    <x:mergeCell ref="A3:J3"/>
    <x:mergeCell ref="A5:J5"/>
    <x:mergeCell ref="A14:J14"/>
    <x:mergeCell ref="A23:J2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58" hidden="0" customWidth="1"/>
    <x:col min="5" max="5" width="14" hidden="0" customWidth="1"/>
    <x:col min="6" max="6" width="40" hidden="0" customWidth="1"/>
    <x:col min="7" max="7" width="10" hidden="0" customWidth="1"/>
    <x:col min="8" max="8" width="34" hidden="0" customWidth="1"/>
  </x:cols>
  <x:sheetData>
    <x:row r="1" ht="36" customHeight="1">
      <x:c r="A1" s="4" t="str">
        <x:v>来源、价格口径与不确定性</x:v>
      </x:c>
      <x:c r="B1" s="4" t="str">
        <x:v>来源、价格口径与不确定性</x:v>
      </x:c>
      <x:c r="C1" s="4" t="str">
        <x:v>来源、价格口径与不确定性</x:v>
      </x:c>
      <x:c r="D1" s="4" t="str">
        <x:v>来源、价格口径与不确定性</x:v>
      </x:c>
      <x:c r="E1" s="4" t="str">
        <x:v>来源、价格口径与不确定性</x:v>
      </x:c>
      <x:c r="F1" s="4" t="str">
        <x:v>来源、价格口径与不确定性</x:v>
      </x:c>
      <x:c r="G1" s="4" t="str">
        <x:v>来源、价格口径与不确定性</x:v>
      </x:c>
      <x:c r="H1" s="4" t="str">
        <x:v>来源、价格口径与不确定性</x:v>
      </x:c>
    </x:row>
    <x:row r="2" ht="36" customHeight="1">
      <x:c r="A2" s="4" t="str">
        <x:v>来源、价格口径与不确定性</x:v>
      </x:c>
      <x:c r="B2" s="4" t="str">
        <x:v>来源、价格口径与不确定性</x:v>
      </x:c>
      <x:c r="C2" s="4" t="str">
        <x:v>来源、价格口径与不确定性</x:v>
      </x:c>
      <x:c r="D2" s="4" t="str">
        <x:v>来源、价格口径与不确定性</x:v>
      </x:c>
      <x:c r="E2" s="4" t="str">
        <x:v>来源、价格口径与不确定性</x:v>
      </x:c>
      <x:c r="F2" s="4" t="str">
        <x:v>来源、价格口径与不确定性</x:v>
      </x:c>
      <x:c r="G2" s="4" t="str">
        <x:v>来源、价格口径与不确定性</x:v>
      </x:c>
      <x:c r="H2" s="4" t="str">
        <x:v>来源、价格口径与不确定性</x:v>
      </x:c>
    </x:row>
    <x:row r="3" ht="25.5" customHeight="1">
      <x:c r="A3" s="10" t="str">
        <x:v>淘宝价格会随 SKU、优惠、店铺和日期变化；官方资料用于器件能力，淘宝页用于可购买形态与页面价。星号参数表示需以最终 SKU/卖家协议再次确认。</x:v>
      </x:c>
      <x:c r="B3" s="10" t="str">
        <x:v>淘宝价格会随 SKU、优惠、店铺和日期变化；官方资料用于器件能力，淘宝页用于可购买形态与页面价。星号参数表示需以最终 SKU/卖家协议再次确认。</x:v>
      </x:c>
      <x:c r="C3" s="10" t="str">
        <x:v>淘宝价格会随 SKU、优惠、店铺和日期变化；官方资料用于器件能力，淘宝页用于可购买形态与页面价。星号参数表示需以最终 SKU/卖家协议再次确认。</x:v>
      </x:c>
      <x:c r="D3" s="10" t="str">
        <x:v>淘宝价格会随 SKU、优惠、店铺和日期变化；官方资料用于器件能力，淘宝页用于可购买形态与页面价。星号参数表示需以最终 SKU/卖家协议再次确认。</x:v>
      </x:c>
      <x:c r="E3" s="10" t="str">
        <x:v>淘宝价格会随 SKU、优惠、店铺和日期变化；官方资料用于器件能力，淘宝页用于可购买形态与页面价。星号参数表示需以最终 SKU/卖家协议再次确认。</x:v>
      </x:c>
      <x:c r="F3" s="10" t="str">
        <x:v>淘宝价格会随 SKU、优惠、店铺和日期变化；官方资料用于器件能力，淘宝页用于可购买形态与页面价。星号参数表示需以最终 SKU/卖家协议再次确认。</x:v>
      </x:c>
      <x:c r="G3" s="10" t="str">
        <x:v>淘宝价格会随 SKU、优惠、店铺和日期变化；官方资料用于器件能力，淘宝页用于可购买形态与页面价。星号参数表示需以最终 SKU/卖家协议再次确认。</x:v>
      </x:c>
      <x:c r="H3" s="10" t="str">
        <x:v>淘宝价格会随 SKU、优惠、店铺和日期变化；官方资料用于器件能力，淘宝页用于可购买形态与页面价。星号参数表示需以最终 SKU/卖家协议再次确认。</x:v>
      </x:c>
    </x:row>
    <x:row r="4" ht="27" customHeight="1">
      <x:c r="A4" s="212" t="str">
        <x:v>类别</x:v>
      </x:c>
      <x:c r="B4" s="212" t="str">
        <x:v>对象</x:v>
      </x:c>
      <x:c r="C4" s="212" t="str">
        <x:v>来源类型</x:v>
      </x:c>
      <x:c r="D4" s="212" t="str">
        <x:v>原始 URL</x:v>
      </x:c>
      <x:c r="E4" s="212" t="str">
        <x:v>核对日期</x:v>
      </x:c>
      <x:c r="F4" s="212" t="str">
        <x:v>用于支持的事实</x:v>
      </x:c>
      <x:c r="G4" s="212" t="str">
        <x:v>置信</x:v>
      </x:c>
      <x:c r="H4" s="212" t="str">
        <x:v>备注</x:v>
      </x:c>
    </x:row>
    <x:row r="5" ht="36" customHeight="1">
      <x:c r="A5" s="217" t="str">
        <x:v>主控</x:v>
      </x:c>
      <x:c r="B5" s="217" t="str">
        <x:v>FireBeetle 2 ESP32-S3</x:v>
      </x:c>
      <x:c r="C5" s="217" t="str">
        <x:v>厂商资料</x:v>
      </x:c>
      <x:c r="D5" s="239" t="str">
        <x:v>https://wiki.dfrobot.com/SKU_DFR0975_FireBeetle_2_Board_ESP32_S3</x:v>
      </x:c>
      <x:c r="E5" s="241" t="n">
        <x:v>46264</x:v>
      </x:c>
      <x:c r="F5" s="217" t="str">
        <x:v>ESP32-S3、板载充电与板卡能力</x:v>
      </x:c>
      <x:c r="G5" s="217" t="str">
        <x:v>高</x:v>
      </x:c>
      <x:c r="H5" s="217" t="str">
        <x:v>最终板卡版本仍按实物丝印</x:v>
      </x:c>
    </x:row>
    <x:row r="6" ht="36" customHeight="1">
      <x:c r="A6" s="217" t="str">
        <x:v>IMU</x:v>
      </x:c>
      <x:c r="B6" s="217" t="str">
        <x:v>ICM-42688-P</x:v>
      </x:c>
      <x:c r="C6" s="217" t="str">
        <x:v>芯片厂商</x:v>
      </x:c>
      <x:c r="D6" s="239" t="str">
        <x:v>https://invensense.tdk.com/products/motion-tracking/6-axis/icm-42688-p/</x:v>
      </x:c>
      <x:c r="E6" s="241" t="n">
        <x:v>46264</x:v>
      </x:c>
      <x:c r="F6" s="217" t="str">
        <x:v>量程、FIFO、接口与器件定位</x:v>
      </x:c>
      <x:c r="G6" s="217" t="str">
        <x:v>高</x:v>
      </x:c>
      <x:c r="H6" s="217" t="str">
        <x:v>模块电路由卖家决定</x:v>
      </x:c>
    </x:row>
    <x:row r="7" ht="36" customHeight="1">
      <x:c r="A7" s="217" t="str">
        <x:v>IMU</x:v>
      </x:c>
      <x:c r="B7" s="217" t="str">
        <x:v>ICM-45686</x:v>
      </x:c>
      <x:c r="C7" s="217" t="str">
        <x:v>芯片厂商</x:v>
      </x:c>
      <x:c r="D7" s="239" t="str">
        <x:v>https://invensense.tdk.com/products/motion-tracking/6-axis/icm-45686/</x:v>
      </x:c>
      <x:c r="E7" s="241" t="n">
        <x:v>46264</x:v>
      </x:c>
      <x:c r="F7" s="217" t="str">
        <x:v>高量程、高分辨率 FIFO 与接口</x:v>
      </x:c>
      <x:c r="G7" s="217" t="str">
        <x:v>高</x:v>
      </x:c>
      <x:c r="H7" s="217" t="str">
        <x:v>驱动生态成熟度属于工程判断</x:v>
      </x:c>
    </x:row>
    <x:row r="8" ht="36" customHeight="1">
      <x:c r="A8" s="217" t="str">
        <x:v>IMU</x:v>
      </x:c>
      <x:c r="B8" s="217" t="str">
        <x:v>BMI088</x:v>
      </x:c>
      <x:c r="C8" s="217" t="str">
        <x:v>芯片厂商</x:v>
      </x:c>
      <x:c r="D8" s="239" t="str">
        <x:v>https://www.bosch-sensortec.com/products/motion-sensors/imus/bmi088/</x:v>
      </x:c>
      <x:c r="E8" s="241" t="n">
        <x:v>46264</x:v>
      </x:c>
      <x:c r="F8" s="217" t="str">
        <x:v>量程、ODR、抗振定位</x:v>
      </x:c>
      <x:c r="G8" s="217" t="str">
        <x:v>高</x:v>
      </x:c>
      <x:c r="H8" s="217" t="str">
        <x:v>模块电路由卖家决定</x:v>
      </x:c>
    </x:row>
    <x:row r="9" ht="36" customHeight="1">
      <x:c r="A9" s="217" t="str">
        <x:v>IMU</x:v>
      </x:c>
      <x:c r="B9" s="217" t="str">
        <x:v>LSM6DS3</x:v>
      </x:c>
      <x:c r="C9" s="217" t="str">
        <x:v>芯片厂商</x:v>
      </x:c>
      <x:c r="D9" s="239" t="str">
        <x:v>https://www.st.com/en/mems-and-sensors/lsm6ds3.html</x:v>
      </x:c>
      <x:c r="E9" s="241" t="n">
        <x:v>46264</x:v>
      </x:c>
      <x:c r="F9" s="217" t="str">
        <x:v>量程、ODR、FIFO 与接口</x:v>
      </x:c>
      <x:c r="G9" s="217" t="str">
        <x:v>高</x:v>
      </x:c>
      <x:c r="H9" s="217" t="str">
        <x:v>淘宝低价板来源差异大</x:v>
      </x:c>
    </x:row>
    <x:row r="10" ht="36" customHeight="1">
      <x:c r="A10" s="217" t="str">
        <x:v>IMU</x:v>
      </x:c>
      <x:c r="B10" s="217" t="str">
        <x:v>BNO085</x:v>
      </x:c>
      <x:c r="C10" s="217" t="str">
        <x:v>芯片/算法厂商</x:v>
      </x:c>
      <x:c r="D10" s="239" t="str">
        <x:v>https://www.ceva-ip.com/product/bno080-085/</x:v>
      </x:c>
      <x:c r="E10" s="241" t="n">
        <x:v>46264</x:v>
      </x:c>
      <x:c r="F10" s="217" t="str">
        <x:v>片上融合与输出能力</x:v>
      </x:c>
      <x:c r="G10" s="217" t="str">
        <x:v>高</x:v>
      </x:c>
      <x:c r="H10" s="217" t="str">
        <x:v>不同模块固件可能不同</x:v>
      </x:c>
    </x:row>
    <x:row r="11" ht="36" customHeight="1">
      <x:c r="A11" s="217" t="str">
        <x:v>定位</x:v>
      </x:c>
      <x:c r="B11" s="217" t="str">
        <x:v>LC29H 系列</x:v>
      </x:c>
      <x:c r="C11" s="217" t="str">
        <x:v>模组厂商</x:v>
      </x:c>
      <x:c r="D11" s="239" t="str">
        <x:v>https://www.quectel.com/product/gnss-lc29h-series/</x:v>
      </x:c>
      <x:c r="E11" s="241" t="n">
        <x:v>46264</x:v>
      </x:c>
      <x:c r="F11" s="217" t="str">
        <x:v>RTK 能力与产品系列</x:v>
      </x:c>
      <x:c r="G11" s="217" t="str">
        <x:v>高</x:v>
      </x:c>
      <x:c r="H11" s="217" t="str">
        <x:v>必须配改正数链路</x:v>
      </x:c>
    </x:row>
    <x:row r="12" ht="36" customHeight="1">
      <x:c r="A12" s="217" t="str">
        <x:v>定位</x:v>
      </x:c>
      <x:c r="B12" s="217" t="str">
        <x:v>LG290P</x:v>
      </x:c>
      <x:c r="C12" s="217" t="str">
        <x:v>模组厂商</x:v>
      </x:c>
      <x:c r="D12" s="239" t="str">
        <x:v>https://www.quectel.com/product/gnss-lg290p/</x:v>
      </x:c>
      <x:c r="E12" s="241" t="n">
        <x:v>46264</x:v>
      </x:c>
      <x:c r="F12" s="217" t="str">
        <x:v>全频 RTK 和高更新率定位</x:v>
      </x:c>
      <x:c r="G12" s="217" t="str">
        <x:v>高</x:v>
      </x:c>
      <x:c r="H12" s="217" t="str">
        <x:v>具体板卡配置按卖家 SKU</x:v>
      </x:c>
    </x:row>
    <x:row r="13" ht="36" customHeight="1">
      <x:c r="A13" s="217" t="str">
        <x:v>心率</x:v>
      </x:c>
      <x:c r="B13" s="217" t="str">
        <x:v>BLE Heart Rate Service</x:v>
      </x:c>
      <x:c r="C13" s="217" t="str">
        <x:v>标准规范</x:v>
      </x:c>
      <x:c r="D13" s="239" t="str">
        <x:v>https://www.bluetooth.com/specifications/specs/heart-rate-service-1-0/</x:v>
      </x:c>
      <x:c r="E13" s="241" t="n">
        <x:v>46264</x:v>
      </x:c>
      <x:c r="F13" s="217" t="str">
        <x:v>0x180D/0x2A37、flags 与 RR 解析</x:v>
      </x:c>
      <x:c r="G13" s="217" t="str">
        <x:v>高</x:v>
      </x:c>
      <x:c r="H13" s="217" t="str">
        <x:v>胸带是否完整实现需实测</x:v>
      </x:c>
    </x:row>
    <x:row r="14" ht="36" customHeight="1">
      <x:c r="A14" s="217" t="str">
        <x:v>心率</x:v>
      </x:c>
      <x:c r="B14" s="217" t="str">
        <x:v>Polar H10</x:v>
      </x:c>
      <x:c r="C14" s="217" t="str">
        <x:v>厂商资料</x:v>
      </x:c>
      <x:c r="D14" s="239" t="str">
        <x:v>https://www.polar.com/en/sensors/h10-heart-rate-sensor</x:v>
      </x:c>
      <x:c r="E14" s="241" t="n">
        <x:v>46264</x:v>
      </x:c>
      <x:c r="F14" s="217" t="str">
        <x:v>参考胸带能力</x:v>
      </x:c>
      <x:c r="G14" s="217" t="str">
        <x:v>高</x:v>
      </x:c>
      <x:c r="H14" s="217" t="str">
        <x:v>淘宝价来自对应商品页</x:v>
      </x:c>
    </x:row>
    <x:row r="15" ht="36" customHeight="1">
      <x:c r="A15" s="217" t="str">
        <x:v>主控</x:v>
      </x:c>
      <x:c r="B15" s="217" t="str">
        <x:v>FireBeetle 2 ESP32-S3 N4</x:v>
      </x:c>
      <x:c r="C15" s="217" t="str">
        <x:v>淘宝商品页</x:v>
      </x:c>
      <x:c r="D15" s="239" t="str">
        <x:v>https://item.taobao.com/item.htm?id=788239064657</x:v>
      </x:c>
      <x:c r="E15" s="241" t="n">
        <x:v>46264</x:v>
      </x:c>
      <x:c r="F15" s="217" t="str">
        <x:v>商品形态、页面价 ¥69、卖家描述</x:v>
      </x:c>
      <x:c r="G15" s="217" t="str">
        <x:v>高</x:v>
      </x:c>
      <x:c r="H15" s="217" t="str">
        <x:v>价格和 SKU 购买前复核</x:v>
      </x:c>
    </x:row>
    <x:row r="16" ht="36" customHeight="1">
      <x:c r="A16" s="217" t="str">
        <x:v>主控</x:v>
      </x:c>
      <x:c r="B16" s="217" t="str">
        <x:v>FireBeetle 2 ESP32-S3-U N16R8</x:v>
      </x:c>
      <x:c r="C16" s="217" t="str">
        <x:v>淘宝商品页</x:v>
      </x:c>
      <x:c r="D16" s="239" t="str">
        <x:v>https://item.taobao.com/item.htm?id=713291484809</x:v>
      </x:c>
      <x:c r="E16" s="241" t="n">
        <x:v>46264</x:v>
      </x:c>
      <x:c r="F16" s="217" t="str">
        <x:v>商品形态、页面价 ¥125、卖家描述</x:v>
      </x:c>
      <x:c r="G16" s="217" t="str">
        <x:v>中</x:v>
      </x:c>
      <x:c r="H16" s="217" t="str">
        <x:v>价格和 SKU 购买前复核</x:v>
      </x:c>
    </x:row>
    <x:row r="17" ht="36" customHeight="1">
      <x:c r="A17" s="217" t="str">
        <x:v>主控</x:v>
      </x:c>
      <x:c r="B17" s="217" t="str">
        <x:v>ESP32-S3-DevKitC-1</x:v>
      </x:c>
      <x:c r="C17" s="217" t="str">
        <x:v>淘宝商品页</x:v>
      </x:c>
      <x:c r="D17" s="239" t="str">
        <x:v>https://item.taobao.com/item.htm?id=653155344338</x:v>
      </x:c>
      <x:c r="E17" s="241" t="n">
        <x:v>46264</x:v>
      </x:c>
      <x:c r="F17" s="217" t="str">
        <x:v>商品形态、页面价 ¥99、卖家描述</x:v>
      </x:c>
      <x:c r="G17" s="217" t="str">
        <x:v>中</x:v>
      </x:c>
      <x:c r="H17" s="217" t="str">
        <x:v>价格和 SKU 购买前复核</x:v>
      </x:c>
    </x:row>
    <x:row r="18" ht="36" customHeight="1">
      <x:c r="A18" s="217" t="str">
        <x:v>定位</x:v>
      </x:c>
      <x:c r="B18" s="217" t="str">
        <x:v>UM620 双频板 + 天线</x:v>
      </x:c>
      <x:c r="C18" s="217" t="str">
        <x:v>淘宝商品页</x:v>
      </x:c>
      <x:c r="D18" s="239" t="str">
        <x:v>https://item.taobao.com/item.htm?id=1042369620858</x:v>
      </x:c>
      <x:c r="E18" s="241" t="n">
        <x:v>46264</x:v>
      </x:c>
      <x:c r="F18" s="217" t="str">
        <x:v>商品形态、页面价 ¥94.8、卖家描述</x:v>
      </x:c>
      <x:c r="G18" s="217" t="str">
        <x:v>高</x:v>
      </x:c>
      <x:c r="H18" s="217" t="str">
        <x:v>价格和 SKU 购买前复核</x:v>
      </x:c>
    </x:row>
    <x:row r="19" ht="36" customHeight="1">
      <x:c r="A19" s="217" t="str">
        <x:v>定位</x:v>
      </x:c>
      <x:c r="B19" s="217" t="str">
        <x:v>大夏龙雀 DX-GP21</x:v>
      </x:c>
      <x:c r="C19" s="217" t="str">
        <x:v>淘宝商品页</x:v>
      </x:c>
      <x:c r="D19" s="239" t="str">
        <x:v>https://detail.tmall.com/item.htm?id=808867563531</x:v>
      </x:c>
      <x:c r="E19" s="241" t="n">
        <x:v>46264</x:v>
      </x:c>
      <x:c r="F19" s="217" t="str">
        <x:v>商品形态、页面价 ¥23.9、卖家描述</x:v>
      </x:c>
      <x:c r="G19" s="217" t="str">
        <x:v>中</x:v>
      </x:c>
      <x:c r="H19" s="217" t="str">
        <x:v>价格和 SKU 购买前复核</x:v>
      </x:c>
    </x:row>
    <x:row r="20" ht="36" customHeight="1">
      <x:c r="A20" s="217" t="str">
        <x:v>定位</x:v>
      </x:c>
      <x:c r="B20" s="217" t="str">
        <x:v>移远 LC29HEA RTK 漫游板</x:v>
      </x:c>
      <x:c r="C20" s="217" t="str">
        <x:v>淘宝商品页</x:v>
      </x:c>
      <x:c r="D20" s="239" t="str">
        <x:v>https://item.taobao.com/item.htm?id=777579561431</x:v>
      </x:c>
      <x:c r="E20" s="241" t="n">
        <x:v>46264</x:v>
      </x:c>
      <x:c r="F20" s="217" t="str">
        <x:v>商品形态、页面价 ¥154.8、卖家描述</x:v>
      </x:c>
      <x:c r="G20" s="217" t="str">
        <x:v>高</x:v>
      </x:c>
      <x:c r="H20" s="217" t="str">
        <x:v>价格和 SKU 购买前复核</x:v>
      </x:c>
    </x:row>
    <x:row r="21" ht="36" customHeight="1">
      <x:c r="A21" s="217" t="str">
        <x:v>定位</x:v>
      </x:c>
      <x:c r="B21" s="217" t="str">
        <x:v>移远 LG290P 全频 RTK 板</x:v>
      </x:c>
      <x:c r="C21" s="217" t="str">
        <x:v>淘宝商品页</x:v>
      </x:c>
      <x:c r="D21" s="239" t="str">
        <x:v>https://item.taobao.com/item.htm?id=777579561431</x:v>
      </x:c>
      <x:c r="E21" s="241" t="n">
        <x:v>46264</x:v>
      </x:c>
      <x:c r="F21" s="217" t="str">
        <x:v>商品形态、页面价 ¥419.8、卖家描述</x:v>
      </x:c>
      <x:c r="G21" s="217" t="str">
        <x:v>高</x:v>
      </x:c>
      <x:c r="H21" s="217" t="str">
        <x:v>价格和 SKU 购买前复核</x:v>
      </x:c>
    </x:row>
    <x:row r="22" ht="36" customHeight="1">
      <x:c r="A22" s="217" t="str">
        <x:v>IMU</x:v>
      </x:c>
      <x:c r="B22" s="217" t="str">
        <x:v>ICM-42688-P 模块</x:v>
      </x:c>
      <x:c r="C22" s="217" t="str">
        <x:v>淘宝商品页</x:v>
      </x:c>
      <x:c r="D22" s="239" t="str">
        <x:v>https://item.taobao.com/item.htm?id=824324354383</x:v>
      </x:c>
      <x:c r="E22" s="241" t="n">
        <x:v>46264</x:v>
      </x:c>
      <x:c r="F22" s="217" t="str">
        <x:v>商品形态、页面价 ¥85、卖家描述</x:v>
      </x:c>
      <x:c r="G22" s="217" t="str">
        <x:v>高</x:v>
      </x:c>
      <x:c r="H22" s="217" t="str">
        <x:v>价格和 SKU 购买前复核</x:v>
      </x:c>
    </x:row>
    <x:row r="23" ht="36" customHeight="1">
      <x:c r="A23" s="217" t="str">
        <x:v>IMU</x:v>
      </x:c>
      <x:c r="B23" s="217" t="str">
        <x:v>ICM-45686 模块</x:v>
      </x:c>
      <x:c r="C23" s="217" t="str">
        <x:v>淘宝商品页</x:v>
      </x:c>
      <x:c r="D23" s="239" t="str">
        <x:v>https://item.taobao.com/item.htm?id=844676198600</x:v>
      </x:c>
      <x:c r="E23" s="241" t="n">
        <x:v>46264</x:v>
      </x:c>
      <x:c r="F23" s="217" t="str">
        <x:v>商品形态、页面价 ¥85、卖家描述</x:v>
      </x:c>
      <x:c r="G23" s="217" t="str">
        <x:v>中高</x:v>
      </x:c>
      <x:c r="H23" s="217" t="str">
        <x:v>价格和 SKU 购买前复核</x:v>
      </x:c>
    </x:row>
    <x:row r="24" ht="36" customHeight="1">
      <x:c r="A24" s="217" t="str">
        <x:v>IMU</x:v>
      </x:c>
      <x:c r="B24" s="217" t="str">
        <x:v>BMI088 模块</x:v>
      </x:c>
      <x:c r="C24" s="217" t="str">
        <x:v>淘宝商品页</x:v>
      </x:c>
      <x:c r="D24" s="239" t="str">
        <x:v>https://item.taobao.com/item.htm?id=974795061349</x:v>
      </x:c>
      <x:c r="E24" s="241" t="n">
        <x:v>46264</x:v>
      </x:c>
      <x:c r="F24" s="217" t="str">
        <x:v>商品形态、页面价 ¥70、卖家描述</x:v>
      </x:c>
      <x:c r="G24" s="217" t="str">
        <x:v>高</x:v>
      </x:c>
      <x:c r="H24" s="217" t="str">
        <x:v>价格和 SKU 购买前复核</x:v>
      </x:c>
    </x:row>
    <x:row r="25" ht="36" customHeight="1">
      <x:c r="A25" s="217" t="str">
        <x:v>IMU</x:v>
      </x:c>
      <x:c r="B25" s="217" t="str">
        <x:v>维特 WTi-603C</x:v>
      </x:c>
      <x:c r="C25" s="217" t="str">
        <x:v>淘宝商品页</x:v>
      </x:c>
      <x:c r="D25" s="239" t="str">
        <x:v>https://detail.tmall.com/item.htm?id=1077522192727</x:v>
      </x:c>
      <x:c r="E25" s="241" t="n">
        <x:v>46264</x:v>
      </x:c>
      <x:c r="F25" s="217" t="str">
        <x:v>商品形态、页面价 ¥175、卖家描述</x:v>
      </x:c>
      <x:c r="G25" s="217" t="str">
        <x:v>中</x:v>
      </x:c>
      <x:c r="H25" s="217" t="str">
        <x:v>价格和 SKU 购买前复核</x:v>
      </x:c>
    </x:row>
    <x:row r="26" ht="36" customHeight="1">
      <x:c r="A26" s="217" t="str">
        <x:v>心率</x:v>
      </x:c>
      <x:c r="B26" s="217" t="str">
        <x:v>Magene H303 胸带</x:v>
      </x:c>
      <x:c r="C26" s="217" t="str">
        <x:v>淘宝商品页</x:v>
      </x:c>
      <x:c r="D26" s="239" t="str">
        <x:v>https://item.taobao.com/item.htm?id=1049029613702</x:v>
      </x:c>
      <x:c r="E26" s="241" t="n">
        <x:v>46264</x:v>
      </x:c>
      <x:c r="F26" s="217" t="str">
        <x:v>商品形态、页面价 ¥69.9、卖家描述</x:v>
      </x:c>
      <x:c r="G26" s="217" t="str">
        <x:v>中高</x:v>
      </x:c>
      <x:c r="H26" s="217" t="str">
        <x:v>价格和 SKU 购买前复核</x:v>
      </x:c>
    </x:row>
    <x:row r="27" ht="36" customHeight="1">
      <x:c r="A27" s="217" t="str">
        <x:v>心率</x:v>
      </x:c>
      <x:c r="B27" s="217" t="str">
        <x:v>Polar H10</x:v>
      </x:c>
      <x:c r="C27" s="217" t="str">
        <x:v>淘宝商品页</x:v>
      </x:c>
      <x:c r="D27" s="239" t="str">
        <x:v>https://item.taobao.com/item.htm?id=40769842347</x:v>
      </x:c>
      <x:c r="E27" s="241" t="n">
        <x:v>46264</x:v>
      </x:c>
      <x:c r="F27" s="217" t="str">
        <x:v>商品形态、页面价 ¥889、卖家描述</x:v>
      </x:c>
      <x:c r="G27" s="217" t="str">
        <x:v>高</x:v>
      </x:c>
      <x:c r="H27" s="217" t="str">
        <x:v>价格和 SKU 购买前复核</x:v>
      </x:c>
    </x:row>
    <x:row r="28" ht="36" customHeight="1">
      <x:c r="A28" s="217" t="str">
        <x:v>心率</x:v>
      </x:c>
      <x:c r="B28" s="217" t="str">
        <x:v>BigRun 胸带</x:v>
      </x:c>
      <x:c r="C28" s="217" t="str">
        <x:v>淘宝商品页</x:v>
      </x:c>
      <x:c r="D28" s="239" t="str">
        <x:v>https://item.taobao.com/item.htm?id=671711095516</x:v>
      </x:c>
      <x:c r="E28" s="241" t="n">
        <x:v>46264</x:v>
      </x:c>
      <x:c r="F28" s="217" t="str">
        <x:v>商品形态、页面价 ¥342、卖家描述</x:v>
      </x:c>
      <x:c r="G28" s="217" t="str">
        <x:v>低中</x:v>
      </x:c>
      <x:c r="H28" s="217" t="str">
        <x:v>价格和 SKU 购买前复核</x:v>
      </x:c>
    </x:row>
    <x:row r="29" ht="36" customHeight="1">
      <x:c r="A29" s="217" t="str">
        <x:v>存储</x:v>
      </x:c>
      <x:c r="B29" s="217" t="str">
        <x:v>Waveshare MicroSD 模块</x:v>
      </x:c>
      <x:c r="C29" s="217" t="str">
        <x:v>淘宝商品页</x:v>
      </x:c>
      <x:c r="D29" s="239" t="str">
        <x:v>https://item.taobao.com/item.htm?id=12358178476</x:v>
      </x:c>
      <x:c r="E29" s="241" t="n">
        <x:v>46264</x:v>
      </x:c>
      <x:c r="F29" s="217" t="str">
        <x:v>商品形态、页面价 ¥18.72、卖家描述</x:v>
      </x:c>
      <x:c r="G29" s="217" t="str">
        <x:v>中高</x:v>
      </x:c>
      <x:c r="H29" s="217" t="str">
        <x:v>价格和 SKU 购买前复核</x:v>
      </x:c>
    </x:row>
    <x:row r="30" ht="36" customHeight="1">
      <x:c r="A30" s="217" t="str">
        <x:v>存储</x:v>
      </x:c>
      <x:c r="B30" s="217" t="str">
        <x:v>通用 3.3/5V TF 模块</x:v>
      </x:c>
      <x:c r="C30" s="217" t="str">
        <x:v>淘宝商品页</x:v>
      </x:c>
      <x:c r="D30" s="239" t="str">
        <x:v>https://item.taobao.com/item.htm?id=658931223159</x:v>
      </x:c>
      <x:c r="E30" s="241" t="n">
        <x:v>46264</x:v>
      </x:c>
      <x:c r="F30" s="217" t="str">
        <x:v>商品形态、页面价 ¥2.5、卖家描述</x:v>
      </x:c>
      <x:c r="G30" s="217" t="str">
        <x:v>中</x:v>
      </x:c>
      <x:c r="H30" s="217" t="str">
        <x:v>价格和 SKU 购买前复核</x:v>
      </x:c>
    </x:row>
    <x:row r="31" ht="36" customHeight="1">
      <x:c r="A31" s="217" t="str">
        <x:v>存储</x:v>
      </x:c>
      <x:c r="B31" s="217" t="str">
        <x:v>Lenovo 128GB V30 TF 卡</x:v>
      </x:c>
      <x:c r="C31" s="217" t="str">
        <x:v>淘宝商品页</x:v>
      </x:c>
      <x:c r="D31" s="239" t="str">
        <x:v>https://item.taobao.com/item.htm?id=714407773151</x:v>
      </x:c>
      <x:c r="E31" s="241" t="n">
        <x:v>46264</x:v>
      </x:c>
      <x:c r="F31" s="217" t="str">
        <x:v>商品形态、页面价 ¥36.95、卖家描述</x:v>
      </x:c>
      <x:c r="G31" s="217" t="str">
        <x:v>中</x:v>
      </x:c>
      <x:c r="H31" s="217" t="str">
        <x:v>价格和 SKU 购买前复核</x:v>
      </x:c>
    </x:row>
    <x:row r="32" ht="36" customHeight="1">
      <x:c r="A32" s="217" t="str">
        <x:v>4G</x:v>
      </x:c>
      <x:c r="B32" s="217" t="str">
        <x:v>移远 EC200U 开发板</x:v>
      </x:c>
      <x:c r="C32" s="217" t="str">
        <x:v>淘宝商品页</x:v>
      </x:c>
      <x:c r="D32" s="239" t="str">
        <x:v>https://item.taobao.com/item.htm?id=616741646122</x:v>
      </x:c>
      <x:c r="E32" s="241" t="n">
        <x:v>46264</x:v>
      </x:c>
      <x:c r="F32" s="217" t="str">
        <x:v>商品形态、页面价 ¥79、卖家描述</x:v>
      </x:c>
      <x:c r="G32" s="217" t="str">
        <x:v>中高</x:v>
      </x:c>
      <x:c r="H32" s="217" t="str">
        <x:v>价格和 SKU 购买前复核</x:v>
      </x:c>
    </x:row>
    <x:row r="33" ht="36" customHeight="1">
      <x:c r="A33" s="217" t="str">
        <x:v>4G</x:v>
      </x:c>
      <x:c r="B33" s="217" t="str">
        <x:v>EG800AK / EG800Z 开发板</x:v>
      </x:c>
      <x:c r="C33" s="217" t="str">
        <x:v>淘宝商品页</x:v>
      </x:c>
      <x:c r="D33" s="239" t="str">
        <x:v>https://item.taobao.com/item.htm?id=930474698086</x:v>
      </x:c>
      <x:c r="E33" s="241" t="n">
        <x:v>46264</x:v>
      </x:c>
      <x:c r="F33" s="217" t="str">
        <x:v>商品形态、页面价 ¥33.5、卖家描述</x:v>
      </x:c>
      <x:c r="G33" s="217" t="str">
        <x:v>中</x:v>
      </x:c>
      <x:c r="H33" s="217" t="str">
        <x:v>价格和 SKU 购买前复核</x:v>
      </x:c>
    </x:row>
    <x:row r="34" ht="36" customHeight="1">
      <x:c r="A34" s="217" t="str">
        <x:v>4G</x:v>
      </x:c>
      <x:c r="B34" s="217" t="str">
        <x:v>Waveshare ESP32-S3 + A7670E</x:v>
      </x:c>
      <x:c r="C34" s="217" t="str">
        <x:v>淘宝商品页</x:v>
      </x:c>
      <x:c r="D34" s="239" t="str">
        <x:v>https://item.taobao.com/item.htm?id=766221604881</x:v>
      </x:c>
      <x:c r="E34" s="241" t="n">
        <x:v>46264</x:v>
      </x:c>
      <x:c r="F34" s="217" t="str">
        <x:v>商品形态、页面价 ¥253、卖家描述</x:v>
      </x:c>
      <x:c r="G34" s="217" t="str">
        <x:v>高</x:v>
      </x:c>
      <x:c r="H34" s="217" t="str">
        <x:v>价格和 SKU 购买前复核</x:v>
      </x:c>
    </x:row>
    <x:row r="35" ht="36" customHeight="1">
      <x:c r="A35" s="217" t="str">
        <x:v>4G</x:v>
      </x:c>
      <x:c r="B35" s="217" t="str">
        <x:v>LILYGO T-A7670E</x:v>
      </x:c>
      <x:c r="C35" s="217" t="str">
        <x:v>淘宝商品页</x:v>
      </x:c>
      <x:c r="D35" s="239" t="str">
        <x:v>https://item.taobao.com/item.htm?id=750156044129</x:v>
      </x:c>
      <x:c r="E35" s="241" t="n">
        <x:v>46264</x:v>
      </x:c>
      <x:c r="F35" s="217" t="str">
        <x:v>商品形态、页面价 ¥210.11、卖家描述</x:v>
      </x:c>
      <x:c r="G35" s="217" t="str">
        <x:v>中高</x:v>
      </x:c>
      <x:c r="H35" s="217" t="str">
        <x:v>价格和 SKU 购买前复核</x:v>
      </x:c>
    </x:row>
    <x:row r="36" ht="36" customHeight="1">
      <x:c r="A36" s="217" t="str">
        <x:v>电源</x:v>
      </x:c>
      <x:c r="B36" s="217" t="str">
        <x:v>3.7V 2000mAh 保护板锂电</x:v>
      </x:c>
      <x:c r="C36" s="217" t="str">
        <x:v>淘宝商品页</x:v>
      </x:c>
      <x:c r="D36" s="239" t="str">
        <x:v>https://item.taobao.com/item.htm?id=584934447777</x:v>
      </x:c>
      <x:c r="E36" s="241" t="n">
        <x:v>46264</x:v>
      </x:c>
      <x:c r="F36" s="217" t="str">
        <x:v>商品形态、页面价 ¥10.8、卖家描述</x:v>
      </x:c>
      <x:c r="G36" s="217" t="str">
        <x:v>中</x:v>
      </x:c>
      <x:c r="H36" s="217" t="str">
        <x:v>价格和 SKU 购买前复核</x:v>
      </x:c>
    </x:row>
    <x:row r="37" ht="36" customHeight="1">
      <x:c r="A37" s="217" t="str">
        <x:v>电源</x:v>
      </x:c>
      <x:c r="B37" s="217" t="str">
        <x:v>3.7V 2000mAh 替代电池</x:v>
      </x:c>
      <x:c r="C37" s="217" t="str">
        <x:v>淘宝商品页</x:v>
      </x:c>
      <x:c r="D37" s="239" t="str">
        <x:v>https://item.taobao.com/item.htm?id=970265697904</x:v>
      </x:c>
      <x:c r="E37" s="241" t="n">
        <x:v>46264</x:v>
      </x:c>
      <x:c r="F37" s="217" t="str">
        <x:v>商品形态、页面价 ¥6.9、卖家描述</x:v>
      </x:c>
      <x:c r="G37" s="217" t="str">
        <x:v>低中</x:v>
      </x:c>
      <x:c r="H37" s="217" t="str">
        <x:v>价格和 SKU 购买前复核</x:v>
      </x:c>
    </x:row>
    <x:row r="38" ht="36" customHeight="1">
      <x:c r="A38" s="217" t="str">
        <x:v>天线</x:v>
      </x:c>
      <x:c r="B38" s="217" t="str">
        <x:v>L1/L2/L5 有源 GNSS 天线</x:v>
      </x:c>
      <x:c r="C38" s="217" t="str">
        <x:v>淘宝商品页</x:v>
      </x:c>
      <x:c r="D38" s="239" t="str">
        <x:v>https://item.taobao.com/item.htm?id=736363716649</x:v>
      </x:c>
      <x:c r="E38" s="241" t="n">
        <x:v>46264</x:v>
      </x:c>
      <x:c r="F38" s="217" t="str">
        <x:v>商品形态、页面价 ¥101、卖家描述</x:v>
      </x:c>
      <x:c r="G38" s="217" t="str">
        <x:v>中</x:v>
      </x:c>
      <x:c r="H38" s="217" t="str">
        <x:v>价格和 SKU 购买前复核</x:v>
      </x:c>
    </x:row>
    <x:row r="39" ht="36" customHeight="1">
      <x:c r="A39" s="217" t="str">
        <x:v>天线</x:v>
      </x:c>
      <x:c r="B39" s="217" t="str">
        <x:v>LTE 全频段天线</x:v>
      </x:c>
      <x:c r="C39" s="217" t="str">
        <x:v>淘宝商品页</x:v>
      </x:c>
      <x:c r="D39" s="239" t="str">
        <x:v>https://item.taobao.com/item.htm?id=1048886088763</x:v>
      </x:c>
      <x:c r="E39" s="241" t="n">
        <x:v>46264</x:v>
      </x:c>
      <x:c r="F39" s="217" t="str">
        <x:v>商品形态、页面价 ¥2.5、卖家描述</x:v>
      </x:c>
      <x:c r="G39" s="217" t="str">
        <x:v>中</x:v>
      </x:c>
      <x:c r="H39" s="217" t="str">
        <x:v>价格和 SKU 购买前复核</x:v>
      </x:c>
    </x:row>
    <x:row r="40" ht="36" customHeight="1">
      <x:c r="A40" s="217" t="str">
        <x:v>背心</x:v>
      </x:c>
      <x:c r="B40" s="217" t="str">
        <x:v>CSSIT GPS/心率口袋背心</x:v>
      </x:c>
      <x:c r="C40" s="217" t="str">
        <x:v>淘宝商品页</x:v>
      </x:c>
      <x:c r="D40" s="239" t="str">
        <x:v>https://item.taobao.com/item.htm?id=848915824085</x:v>
      </x:c>
      <x:c r="E40" s="241" t="n">
        <x:v>46264</x:v>
      </x:c>
      <x:c r="F40" s="217" t="str">
        <x:v>商品形态、页面价 ¥59.8、卖家描述</x:v>
      </x:c>
      <x:c r="G40" s="217" t="str">
        <x:v>中</x:v>
      </x:c>
      <x:c r="H40" s="217" t="str">
        <x:v>价格和 SKU 购买前复核</x:v>
      </x:c>
    </x:row>
    <x:row r="41" ht="36" customHeight="1">
      <x:c r="A41" s="217" t="str">
        <x:v>背心</x:v>
      </x:c>
      <x:c r="B41" s="217" t="str">
        <x:v>GAIATY GPS 背心</x:v>
      </x:c>
      <x:c r="C41" s="217" t="str">
        <x:v>淘宝商品页</x:v>
      </x:c>
      <x:c r="D41" s="239" t="str">
        <x:v>https://item.taobao.com/item.htm?id=851293826020</x:v>
      </x:c>
      <x:c r="E41" s="241" t="n">
        <x:v>46264</x:v>
      </x:c>
      <x:c r="F41" s="217" t="str">
        <x:v>商品形态、页面价 ¥56.8、卖家描述</x:v>
      </x:c>
      <x:c r="G41" s="217" t="str">
        <x:v>中</x:v>
      </x:c>
      <x:c r="H41" s="217" t="str">
        <x:v>价格和 SKU 购买前复核</x:v>
      </x:c>
    </x:row>
    <x:row r="42" ht="36" customHeight="1">
      <x:c r="A42" s="218" t="str">
        <x:v>背心</x:v>
      </x:c>
      <x:c r="B42" s="218" t="str">
        <x:v>通用 GPS 口袋背心</x:v>
      </x:c>
      <x:c r="C42" s="218" t="str">
        <x:v>淘宝商品页</x:v>
      </x:c>
      <x:c r="D42" s="240" t="str">
        <x:v>https://item.taobao.com/item.htm?id=1012763716359</x:v>
      </x:c>
      <x:c r="E42" s="242" t="n">
        <x:v>46264</x:v>
      </x:c>
      <x:c r="F42" s="218" t="str">
        <x:v>商品形态、页面价 ¥59.8、卖家描述</x:v>
      </x:c>
      <x:c r="G42" s="218" t="str">
        <x:v>低中</x:v>
      </x:c>
      <x:c r="H42" s="218" t="str">
        <x:v>价格和 SKU 购买前复核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b449ab6388af49ea"/>
  </x:tableParts>
</x:worksheet>
</file>